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סיכום" sheetId="1" r:id="rId4"/>
    <sheet state="visible" name="HPE DL360 " sheetId="2" r:id="rId5"/>
  </sheets>
  <definedNames/>
  <calcPr/>
  <extLst>
    <ext uri="GoogleSheetsCustomDataVersion2">
      <go:sheetsCustomData xmlns:go="http://customooxmlschemas.google.com/" r:id="rId6" roundtripDataChecksum="AuvAqKJ02PbWq2nhJM1Ct5qesFP8tcRLOl8j0Eowj9E="/>
    </ext>
  </extLst>
</workbook>
</file>

<file path=xl/sharedStrings.xml><?xml version="1.0" encoding="utf-8"?>
<sst xmlns="http://schemas.openxmlformats.org/spreadsheetml/2006/main" count="130" uniqueCount="69">
  <si>
    <t>DL360</t>
  </si>
  <si>
    <t>NQ10094750-01</t>
  </si>
  <si>
    <t>Summary</t>
  </si>
  <si>
    <t>UCID</t>
  </si>
  <si>
    <t>Description</t>
  </si>
  <si>
    <t>Qty</t>
  </si>
  <si>
    <t>Unit List Price</t>
  </si>
  <si>
    <t>Total List Price</t>
  </si>
  <si>
    <t>Unit Net Price</t>
  </si>
  <si>
    <t>Total Net Price</t>
  </si>
  <si>
    <t>5149300100-03</t>
  </si>
  <si>
    <t>תוקף ההצעה 09.04.2026</t>
  </si>
  <si>
    <t>ILS Content (USD)</t>
  </si>
  <si>
    <t>DL385</t>
  </si>
  <si>
    <t xml:space="preserve"> Qty</t>
  </si>
  <si>
    <t>Prod#</t>
  </si>
  <si>
    <t>Total List</t>
  </si>
  <si>
    <t>Disc %</t>
  </si>
  <si>
    <t>Unit Net</t>
  </si>
  <si>
    <t>Total Net</t>
  </si>
  <si>
    <t>DL360 Gen12 060326</t>
  </si>
  <si>
    <t>1</t>
  </si>
  <si>
    <t>P57844-B21</t>
  </si>
  <si>
    <t>HPE DL385 Gen11 48SFF CTO Server</t>
  </si>
  <si>
    <t>0.00</t>
  </si>
  <si>
    <t>HA849A1</t>
  </si>
  <si>
    <t>HPE Product and Package Labeling SVC</t>
  </si>
  <si>
    <t>2</t>
  </si>
  <si>
    <t>P72646-B21</t>
  </si>
  <si>
    <t>AMD EPYC 9845 CPU for HPE</t>
  </si>
  <si>
    <t>Factory Integrated</t>
  </si>
  <si>
    <t>24</t>
  </si>
  <si>
    <t>P64988-B21</t>
  </si>
  <si>
    <t>HPE 128GB 2Rx4 PC5-6400B-R Smart Kit</t>
  </si>
  <si>
    <t>Factory integrated</t>
  </si>
  <si>
    <t>6</t>
  </si>
  <si>
    <t>P55082-B21</t>
  </si>
  <si>
    <t>HPE DL385 Gen11 8SFF TM U.3 x1 BC BP Kit</t>
  </si>
  <si>
    <t>P47184-B21</t>
  </si>
  <si>
    <t>HPE SR932i-p Gen11 SPDM Storage Cntlr</t>
  </si>
  <si>
    <t>P01367-B21</t>
  </si>
  <si>
    <t>HPE 96W Smart Stg Li-ion Batt 260mm Kit</t>
  </si>
  <si>
    <t>P73114-B21</t>
  </si>
  <si>
    <t>BCM 57608 100GbE 2p QSFP112 OCP3 Adptr</t>
  </si>
  <si>
    <t>4</t>
  </si>
  <si>
    <t>P44712-B21</t>
  </si>
  <si>
    <t>HPE 1800W-2200W FS Ti Ht Plg PS Kit</t>
  </si>
  <si>
    <t>FACTORY INTEGRATED</t>
  </si>
  <si>
    <t>P57849-B21</t>
  </si>
  <si>
    <t>HPE DL3X5 G11 x16 OCP1 OCP2 2P Upg Kit</t>
  </si>
  <si>
    <t>P57887-B21</t>
  </si>
  <si>
    <t>HPE DL385 G11 2U HighPerf FIO Baffle Kit</t>
  </si>
  <si>
    <t>P58465-B21</t>
  </si>
  <si>
    <t>HPE DL3X5 Gen11 2U Perf Fan Kit</t>
  </si>
  <si>
    <t>48</t>
  </si>
  <si>
    <t>P84239-B21</t>
  </si>
  <si>
    <t>HPE 15.36TB NVMe RI BC U.3 7500b SSD</t>
  </si>
  <si>
    <t>P52347-B21</t>
  </si>
  <si>
    <t>HPE Ball Bearing Rail 10 Kit</t>
  </si>
  <si>
    <t>P57885-B21</t>
  </si>
  <si>
    <t>HPE DL3X5 G11 Sec NS204i-u Enable Kit</t>
  </si>
  <si>
    <t>P57888-B21</t>
  </si>
  <si>
    <t>HPE DL385 Gen11 PDB Kit</t>
  </si>
  <si>
    <t>P58460-B21</t>
  </si>
  <si>
    <t>HPE DL3X5 Gen11 Max Perf 2U HS Kit</t>
  </si>
  <si>
    <t>P78279-B21</t>
  </si>
  <si>
    <t>HPE NS204i-u V2 Ht Plg Boot Opt Dev</t>
  </si>
  <si>
    <t>E5Y35AAE</t>
  </si>
  <si>
    <t>HPE OV 3yr 24x7 Supp Flex E-LTU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</si>
</sst>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 * #,##0_ ;_ * \-#,##0_ ;_ * &quot;-&quot;??_ ;_ @_ "/>
    <numFmt numFmtId="165" formatCode="_(&quot;$&quot;* #,##0.00_);_(&quot;$&quot;* \(#,##0.00\);_(&quot;$&quot;* &quot;-&quot;??_);_(@_)"/>
    <numFmt numFmtId="166" formatCode="_(* #,##0_);_(* \(#,##0\);_(* &quot;-&quot;??_);_(@_)"/>
    <numFmt numFmtId="167" formatCode="_(* #,##0.00_);_(* \(#,##0.00\);_(* &quot;-&quot;??_);_(@_)"/>
  </numFmts>
  <fonts count="14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000000"/>
      <name val="Aptos"/>
    </font>
    <font>
      <b/>
      <sz val="18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2.0"/>
      <color theme="0"/>
      <name val="Calibri"/>
    </font>
    <font>
      <b/>
      <sz val="11.0"/>
      <color theme="0"/>
      <name val="Calibri"/>
    </font>
    <font>
      <sz val="10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262626"/>
        <bgColor rgb="FF262626"/>
      </patternFill>
    </fill>
    <fill>
      <patternFill patternType="solid">
        <fgColor rgb="FFFFFF00"/>
        <bgColor rgb="FFFFFF00"/>
      </patternFill>
    </fill>
  </fills>
  <borders count="18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Border="1" applyFont="1"/>
    <xf borderId="0" fillId="0" fontId="2" numFmtId="0" xfId="0" applyAlignment="1" applyFont="1">
      <alignment horizontal="center"/>
    </xf>
    <xf borderId="3" fillId="2" fontId="2" numFmtId="0" xfId="0" applyAlignment="1" applyBorder="1" applyFont="1">
      <alignment horizontal="center"/>
    </xf>
    <xf borderId="4" fillId="2" fontId="3" numFmtId="0" xfId="0" applyAlignment="1" applyBorder="1" applyFont="1">
      <alignment horizontal="center"/>
    </xf>
    <xf borderId="4" fillId="2" fontId="2" numFmtId="0" xfId="0" applyBorder="1" applyFont="1"/>
    <xf borderId="3" fillId="2" fontId="1" numFmtId="0" xfId="0" applyAlignment="1" applyBorder="1" applyFont="1">
      <alignment horizontal="center"/>
    </xf>
    <xf borderId="4" fillId="2" fontId="4" numFmtId="14" xfId="0" applyAlignment="1" applyBorder="1" applyFont="1" applyNumberFormat="1">
      <alignment horizont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5" fillId="3" fontId="6" numFmtId="0" xfId="0" applyAlignment="1" applyBorder="1" applyFill="1" applyFont="1">
      <alignment horizontal="center" vertical="top"/>
    </xf>
    <xf borderId="6" fillId="0" fontId="7" numFmtId="0" xfId="0" applyBorder="1" applyFont="1"/>
    <xf borderId="7" fillId="0" fontId="7" numFmtId="0" xfId="0" applyBorder="1" applyFont="1"/>
    <xf borderId="8" fillId="4" fontId="8" numFmtId="164" xfId="0" applyAlignment="1" applyBorder="1" applyFill="1" applyFont="1" applyNumberFormat="1">
      <alignment vertical="top"/>
    </xf>
    <xf borderId="9" fillId="4" fontId="8" numFmtId="164" xfId="0" applyAlignment="1" applyBorder="1" applyFont="1" applyNumberFormat="1">
      <alignment vertical="top"/>
    </xf>
    <xf borderId="9" fillId="4" fontId="8" numFmtId="164" xfId="0" applyAlignment="1" applyBorder="1" applyFont="1" applyNumberFormat="1">
      <alignment horizontal="center" vertical="top"/>
    </xf>
    <xf borderId="10" fillId="4" fontId="8" numFmtId="164" xfId="0" applyAlignment="1" applyBorder="1" applyFont="1" applyNumberFormat="1">
      <alignment horizontal="center" vertical="top"/>
    </xf>
    <xf borderId="8" fillId="2" fontId="9" numFmtId="0" xfId="0" applyAlignment="1" applyBorder="1" applyFont="1">
      <alignment horizontal="center"/>
    </xf>
    <xf borderId="9" fillId="0" fontId="10" numFmtId="165" xfId="0" applyAlignment="1" applyBorder="1" applyFont="1" applyNumberFormat="1">
      <alignment horizontal="center" vertical="top"/>
    </xf>
    <xf borderId="9" fillId="5" fontId="9" numFmtId="0" xfId="0" applyAlignment="1" applyBorder="1" applyFill="1" applyFont="1">
      <alignment horizontal="center"/>
    </xf>
    <xf borderId="9" fillId="0" fontId="10" numFmtId="165" xfId="0" applyAlignment="1" applyBorder="1" applyFont="1" applyNumberFormat="1">
      <alignment horizontal="center" readingOrder="0" vertical="top"/>
    </xf>
    <xf borderId="9" fillId="2" fontId="10" numFmtId="165" xfId="0" applyAlignment="1" applyBorder="1" applyFont="1" applyNumberFormat="1">
      <alignment horizontal="center" readingOrder="0" vertical="top"/>
    </xf>
    <xf borderId="10" fillId="0" fontId="10" numFmtId="165" xfId="0" applyAlignment="1" applyBorder="1" applyFont="1" applyNumberFormat="1">
      <alignment horizontal="center" vertical="top"/>
    </xf>
    <xf borderId="0" fillId="0" fontId="10" numFmtId="165" xfId="0" applyAlignment="1" applyFont="1" applyNumberFormat="1">
      <alignment horizontal="center" vertical="top"/>
    </xf>
    <xf borderId="0" fillId="0" fontId="10" numFmtId="0" xfId="0" applyFont="1"/>
    <xf borderId="0" fillId="0" fontId="10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11" fillId="0" fontId="10" numFmtId="0" xfId="0" applyAlignment="1" applyBorder="1" applyFont="1">
      <alignment horizontal="center" vertical="top"/>
    </xf>
    <xf borderId="12" fillId="0" fontId="7" numFmtId="0" xfId="0" applyBorder="1" applyFont="1"/>
    <xf borderId="9" fillId="0" fontId="10" numFmtId="165" xfId="0" applyAlignment="1" applyBorder="1" applyFont="1" applyNumberFormat="1">
      <alignment vertical="top"/>
    </xf>
    <xf borderId="0" fillId="0" fontId="11" numFmtId="165" xfId="0" applyAlignment="1" applyFont="1" applyNumberFormat="1">
      <alignment horizontal="center" vertical="top"/>
    </xf>
    <xf borderId="2" fillId="2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4" fillId="2" fontId="8" numFmtId="14" xfId="0" applyAlignment="1" applyBorder="1" applyFont="1" applyNumberFormat="1">
      <alignment horizontal="center"/>
    </xf>
    <xf borderId="14" fillId="2" fontId="2" numFmtId="0" xfId="0" applyBorder="1" applyFont="1"/>
    <xf borderId="14" fillId="2" fontId="2" numFmtId="0" xfId="0" applyAlignment="1" applyBorder="1" applyFont="1">
      <alignment horizontal="center"/>
    </xf>
    <xf borderId="15" fillId="6" fontId="12" numFmtId="3" xfId="0" applyBorder="1" applyFill="1" applyFont="1" applyNumberFormat="1"/>
    <xf borderId="15" fillId="6" fontId="12" numFmtId="3" xfId="0" applyAlignment="1" applyBorder="1" applyFont="1" applyNumberFormat="1">
      <alignment horizontal="center"/>
    </xf>
    <xf borderId="15" fillId="6" fontId="12" numFmtId="10" xfId="0" applyAlignment="1" applyBorder="1" applyFont="1" applyNumberFormat="1">
      <alignment horizontal="center"/>
    </xf>
    <xf borderId="15" fillId="6" fontId="12" numFmtId="164" xfId="0" applyAlignment="1" applyBorder="1" applyFont="1" applyNumberFormat="1">
      <alignment horizontal="center"/>
    </xf>
    <xf borderId="16" fillId="7" fontId="4" numFmtId="0" xfId="0" applyAlignment="1" applyBorder="1" applyFill="1" applyFont="1">
      <alignment horizontal="center"/>
    </xf>
    <xf borderId="16" fillId="7" fontId="12" numFmtId="0" xfId="0" applyAlignment="1" applyBorder="1" applyFont="1">
      <alignment horizontal="center"/>
    </xf>
    <xf borderId="16" fillId="7" fontId="4" numFmtId="166" xfId="0" applyAlignment="1" applyBorder="1" applyFont="1" applyNumberFormat="1">
      <alignment horizontal="center"/>
    </xf>
    <xf borderId="16" fillId="7" fontId="4" numFmtId="10" xfId="0" applyAlignment="1" applyBorder="1" applyFont="1" applyNumberFormat="1">
      <alignment horizontal="center"/>
    </xf>
    <xf borderId="16" fillId="7" fontId="3" numFmtId="167" xfId="0" applyAlignment="1" applyBorder="1" applyFont="1" applyNumberFormat="1">
      <alignment horizontal="center"/>
    </xf>
    <xf borderId="9" fillId="0" fontId="13" numFmtId="0" xfId="0" applyAlignment="1" applyBorder="1" applyFont="1">
      <alignment horizontal="right"/>
    </xf>
    <xf borderId="9" fillId="0" fontId="2" numFmtId="0" xfId="0" applyBorder="1" applyFont="1"/>
    <xf borderId="9" fillId="0" fontId="2" numFmtId="0" xfId="0" applyAlignment="1" applyBorder="1" applyFont="1">
      <alignment horizontal="right"/>
    </xf>
    <xf borderId="17" fillId="0" fontId="2" numFmtId="167" xfId="0" applyBorder="1" applyFont="1" applyNumberFormat="1"/>
    <xf borderId="17" fillId="0" fontId="2" numFmtId="10" xfId="0" applyBorder="1" applyFont="1" applyNumberFormat="1"/>
    <xf borderId="1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04950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14475" cy="790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86"/>
    <col customWidth="1" min="3" max="3" width="5.86"/>
    <col customWidth="1" min="4" max="4" width="15.86"/>
    <col customWidth="1" min="5" max="5" width="16.86"/>
    <col customWidth="1" min="6" max="6" width="14.57"/>
    <col customWidth="1" min="7" max="7" width="22.43"/>
    <col customWidth="1" min="8" max="8" width="11.86"/>
    <col customWidth="1" min="9" max="9" width="11.43"/>
    <col customWidth="1" min="10" max="10" width="8.86"/>
    <col customWidth="1" min="11" max="11" width="12.86"/>
    <col customWidth="1" min="12" max="12" width="11.0"/>
    <col customWidth="1" min="13" max="26" width="8.86"/>
  </cols>
  <sheetData>
    <row r="1" ht="14.25" customHeight="1">
      <c r="A1" s="1"/>
      <c r="B1" s="2"/>
      <c r="C1" s="2"/>
      <c r="D1" s="2"/>
      <c r="E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/>
      <c r="B2" s="5" t="s">
        <v>0</v>
      </c>
      <c r="C2" s="6"/>
      <c r="D2" s="6"/>
      <c r="E2" s="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7"/>
      <c r="B3" s="8">
        <v>46090.0</v>
      </c>
      <c r="C3" s="6"/>
      <c r="D3" s="6"/>
      <c r="E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7"/>
      <c r="B4" s="9" t="s">
        <v>1</v>
      </c>
      <c r="C4" s="6"/>
      <c r="D4" s="6"/>
      <c r="E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7"/>
      <c r="B5" s="6"/>
      <c r="C5" s="6"/>
      <c r="D5" s="6"/>
      <c r="E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7"/>
      <c r="B6" s="10"/>
      <c r="C6" s="6"/>
      <c r="D6" s="6"/>
      <c r="E6" s="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7"/>
      <c r="B7" s="6"/>
      <c r="C7" s="6"/>
      <c r="D7" s="6"/>
      <c r="E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1" t="s">
        <v>2</v>
      </c>
      <c r="B8" s="12"/>
      <c r="C8" s="12"/>
      <c r="D8" s="12"/>
      <c r="E8" s="12"/>
      <c r="F8" s="12"/>
      <c r="G8" s="13"/>
    </row>
    <row r="9" ht="14.25" customHeight="1">
      <c r="A9" s="14" t="s">
        <v>3</v>
      </c>
      <c r="B9" s="15" t="s">
        <v>4</v>
      </c>
      <c r="C9" s="16" t="s">
        <v>5</v>
      </c>
      <c r="D9" s="16" t="s">
        <v>6</v>
      </c>
      <c r="E9" s="16" t="s">
        <v>7</v>
      </c>
      <c r="F9" s="16" t="s">
        <v>8</v>
      </c>
      <c r="G9" s="17" t="s">
        <v>9</v>
      </c>
    </row>
    <row r="10" ht="14.25" customHeight="1">
      <c r="A10" s="18" t="s">
        <v>10</v>
      </c>
      <c r="B10" s="19" t="str">
        <f>'HPE DL360 '!C2</f>
        <v>DL385</v>
      </c>
      <c r="C10" s="20">
        <v>4.0</v>
      </c>
      <c r="D10" s="21">
        <v>100.0</v>
      </c>
      <c r="E10" s="19">
        <f>D10*C10</f>
        <v>400</v>
      </c>
      <c r="F10" s="22">
        <v>95.0</v>
      </c>
      <c r="G10" s="23">
        <f>F10*C10</f>
        <v>380</v>
      </c>
    </row>
    <row r="11" ht="14.25" customHeight="1">
      <c r="A11" s="24"/>
      <c r="B11" s="24"/>
      <c r="C11" s="24"/>
      <c r="D11" s="24"/>
      <c r="E11" s="24"/>
    </row>
    <row r="12" ht="14.25" customHeight="1">
      <c r="A12" s="24"/>
      <c r="B12" s="25"/>
      <c r="C12" s="24"/>
      <c r="D12" s="24"/>
      <c r="E12" s="24"/>
      <c r="F12" s="24"/>
      <c r="G12" s="24"/>
      <c r="H12" s="24"/>
      <c r="I12" s="24"/>
    </row>
    <row r="13" ht="14.25" customHeight="1">
      <c r="A13" s="26"/>
      <c r="B13" s="27" t="s">
        <v>11</v>
      </c>
      <c r="C13" s="24"/>
      <c r="D13" s="24"/>
      <c r="E13" s="28" t="s">
        <v>12</v>
      </c>
      <c r="F13" s="29"/>
      <c r="G13" s="30">
        <v>0.0</v>
      </c>
      <c r="H13" s="24"/>
      <c r="I13" s="24"/>
    </row>
    <row r="14" ht="14.25" customHeight="1">
      <c r="B14" s="25"/>
      <c r="C14" s="24"/>
      <c r="D14" s="24"/>
      <c r="E14" s="24"/>
      <c r="F14" s="24"/>
      <c r="G14" s="24"/>
      <c r="H14" s="24"/>
      <c r="I14" s="24"/>
    </row>
    <row r="15" ht="14.25" customHeight="1">
      <c r="B15" s="25"/>
      <c r="C15" s="24"/>
      <c r="D15" s="24"/>
      <c r="E15" s="24"/>
      <c r="F15" s="24"/>
      <c r="G15" s="24"/>
      <c r="H15" s="24"/>
      <c r="I15" s="24"/>
    </row>
    <row r="16" ht="14.25" customHeight="1">
      <c r="B16" s="24"/>
      <c r="C16" s="24"/>
      <c r="D16" s="24"/>
      <c r="E16" s="24"/>
      <c r="F16" s="24"/>
      <c r="G16" s="24"/>
      <c r="H16" s="24"/>
      <c r="I16" s="24"/>
    </row>
    <row r="17" ht="14.25" customHeight="1">
      <c r="B17" s="24"/>
      <c r="C17" s="24"/>
      <c r="D17" s="24"/>
      <c r="E17" s="24"/>
      <c r="F17" s="24"/>
      <c r="G17" s="31"/>
      <c r="H17" s="24"/>
      <c r="I17" s="24"/>
    </row>
    <row r="18" ht="14.25" customHeight="1">
      <c r="B18" s="24"/>
      <c r="C18" s="24"/>
      <c r="D18" s="24"/>
      <c r="E18" s="24"/>
      <c r="F18" s="24"/>
      <c r="G18" s="24"/>
      <c r="H18" s="24"/>
      <c r="I18" s="24"/>
    </row>
    <row r="19" ht="14.25" customHeight="1">
      <c r="B19" s="24"/>
      <c r="C19" s="24"/>
      <c r="D19" s="24"/>
      <c r="E19" s="24"/>
      <c r="F19" s="24"/>
      <c r="G19" s="24"/>
      <c r="H19" s="24"/>
      <c r="I19" s="24"/>
    </row>
    <row r="20" ht="14.25" customHeight="1">
      <c r="B20" s="24"/>
      <c r="C20" s="24"/>
      <c r="D20" s="24"/>
      <c r="E20" s="24"/>
      <c r="F20" s="24"/>
      <c r="G20" s="24"/>
      <c r="H20" s="24"/>
      <c r="I20" s="24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8:G8"/>
    <mergeCell ref="E13:F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5.0"/>
    <col customWidth="1" min="3" max="3" width="89.14"/>
    <col customWidth="1" min="4" max="4" width="12.57"/>
    <col customWidth="1" min="5" max="5" width="12.71"/>
    <col customWidth="1" min="6" max="6" width="10.43"/>
    <col customWidth="1" min="7" max="8" width="12.86"/>
    <col customWidth="1" min="9" max="9" width="10.14"/>
    <col customWidth="1" min="10" max="26" width="8.86"/>
  </cols>
  <sheetData>
    <row r="1" ht="14.25" customHeight="1">
      <c r="A1" s="2"/>
      <c r="B1" s="32"/>
      <c r="C1" s="32"/>
      <c r="D1" s="32"/>
      <c r="E1" s="33"/>
      <c r="F1" s="33"/>
      <c r="G1" s="33"/>
      <c r="J1" s="3"/>
      <c r="K1" s="3"/>
      <c r="L1" s="3"/>
      <c r="M1" s="3"/>
      <c r="N1" s="3"/>
      <c r="O1" s="3"/>
      <c r="P1" s="3"/>
    </row>
    <row r="2" ht="14.25" customHeight="1">
      <c r="A2" s="6"/>
      <c r="B2" s="34"/>
      <c r="C2" s="35" t="s">
        <v>13</v>
      </c>
      <c r="D2" s="3"/>
      <c r="E2" s="3"/>
      <c r="F2" s="3"/>
      <c r="G2" s="3"/>
      <c r="J2" s="3"/>
      <c r="K2" s="3"/>
      <c r="L2" s="3"/>
      <c r="M2" s="3"/>
      <c r="N2" s="3"/>
      <c r="O2" s="3"/>
      <c r="P2" s="3"/>
    </row>
    <row r="3" ht="14.25" customHeight="1">
      <c r="A3" s="6"/>
      <c r="B3" s="34"/>
      <c r="C3" s="35" t="s">
        <v>10</v>
      </c>
      <c r="D3" s="3"/>
      <c r="E3" s="3"/>
      <c r="F3" s="3"/>
      <c r="G3" s="3"/>
      <c r="J3" s="3"/>
      <c r="K3" s="3"/>
      <c r="L3" s="3"/>
      <c r="M3" s="3"/>
      <c r="N3" s="3"/>
      <c r="O3" s="3"/>
      <c r="P3" s="3"/>
    </row>
    <row r="4" ht="14.25" customHeight="1">
      <c r="A4" s="6"/>
      <c r="B4" s="34"/>
      <c r="C4" s="35">
        <v>46090.0</v>
      </c>
      <c r="D4" s="3"/>
      <c r="E4" s="3"/>
      <c r="F4" s="3"/>
      <c r="G4" s="3"/>
      <c r="J4" s="3"/>
      <c r="K4" s="3"/>
      <c r="L4" s="3"/>
      <c r="M4" s="3"/>
      <c r="N4" s="3"/>
      <c r="O4" s="3"/>
      <c r="P4" s="3"/>
    </row>
    <row r="5" ht="14.25" customHeight="1">
      <c r="A5" s="36"/>
      <c r="B5" s="37"/>
      <c r="C5" s="37"/>
    </row>
    <row r="6" ht="14.25" customHeight="1">
      <c r="A6" s="38" t="s">
        <v>14</v>
      </c>
      <c r="B6" s="39" t="s">
        <v>15</v>
      </c>
      <c r="C6" s="39" t="s">
        <v>4</v>
      </c>
      <c r="D6" s="39" t="s">
        <v>6</v>
      </c>
      <c r="E6" s="39" t="s">
        <v>16</v>
      </c>
      <c r="F6" s="40" t="s">
        <v>17</v>
      </c>
      <c r="G6" s="41" t="s">
        <v>18</v>
      </c>
      <c r="H6" s="41" t="s">
        <v>19</v>
      </c>
    </row>
    <row r="7" ht="14.25" customHeight="1">
      <c r="A7" s="42"/>
      <c r="B7" s="42"/>
      <c r="C7" s="42" t="s">
        <v>20</v>
      </c>
      <c r="D7" s="43"/>
      <c r="E7" s="44">
        <f>SUM(E8:E42)</f>
        <v>3377387</v>
      </c>
      <c r="F7" s="45">
        <f>1-(H7/E7)</f>
        <v>0.8103293522</v>
      </c>
      <c r="G7" s="46"/>
      <c r="H7" s="46">
        <f>SUM(H8:H42)</f>
        <v>640591.18</v>
      </c>
    </row>
    <row r="8" ht="14.25" customHeight="1">
      <c r="A8" s="47" t="s">
        <v>21</v>
      </c>
      <c r="B8" s="48" t="s">
        <v>22</v>
      </c>
      <c r="C8" s="48" t="s">
        <v>23</v>
      </c>
      <c r="D8" s="49">
        <v>7493.0</v>
      </c>
      <c r="E8" s="50">
        <f t="shared" ref="E8:E42" si="1">D8*A8</f>
        <v>7493</v>
      </c>
      <c r="F8" s="51">
        <f>1-(G8/D8)</f>
        <v>0.686947818</v>
      </c>
      <c r="G8" s="50">
        <v>2345.7</v>
      </c>
      <c r="H8" s="50">
        <f t="shared" ref="H8:H42" si="2">G8*A8</f>
        <v>2345.7</v>
      </c>
    </row>
    <row r="9" ht="14.25" customHeight="1">
      <c r="A9" s="47" t="s">
        <v>21</v>
      </c>
      <c r="B9" s="48" t="s">
        <v>22</v>
      </c>
      <c r="C9" s="48" t="s">
        <v>23</v>
      </c>
      <c r="D9" s="49" t="s">
        <v>24</v>
      </c>
      <c r="E9" s="50">
        <f t="shared" si="1"/>
        <v>0</v>
      </c>
      <c r="F9" s="52"/>
      <c r="G9" s="50">
        <v>0.0</v>
      </c>
      <c r="H9" s="50">
        <f t="shared" si="2"/>
        <v>0</v>
      </c>
    </row>
    <row r="10" ht="14.25" customHeight="1">
      <c r="A10" s="47" t="s">
        <v>21</v>
      </c>
      <c r="B10" s="48" t="s">
        <v>25</v>
      </c>
      <c r="C10" s="48" t="s">
        <v>26</v>
      </c>
      <c r="D10" s="49">
        <v>25.0</v>
      </c>
      <c r="E10" s="50">
        <f t="shared" si="1"/>
        <v>25</v>
      </c>
      <c r="F10" s="51">
        <f t="shared" ref="F10:F11" si="3">1-(G10/D10)</f>
        <v>0.5476</v>
      </c>
      <c r="G10" s="50">
        <v>11.31</v>
      </c>
      <c r="H10" s="50">
        <f t="shared" si="2"/>
        <v>11.31</v>
      </c>
    </row>
    <row r="11" ht="14.25" customHeight="1">
      <c r="A11" s="47" t="s">
        <v>27</v>
      </c>
      <c r="B11" s="48" t="s">
        <v>28</v>
      </c>
      <c r="C11" s="48" t="s">
        <v>29</v>
      </c>
      <c r="D11" s="49">
        <v>28484.0</v>
      </c>
      <c r="E11" s="50">
        <f t="shared" si="1"/>
        <v>56968</v>
      </c>
      <c r="F11" s="51">
        <f t="shared" si="3"/>
        <v>0.6178482657</v>
      </c>
      <c r="G11" s="50">
        <v>10885.21</v>
      </c>
      <c r="H11" s="50">
        <f t="shared" si="2"/>
        <v>21770.42</v>
      </c>
    </row>
    <row r="12" ht="14.25" customHeight="1">
      <c r="A12" s="47" t="s">
        <v>27</v>
      </c>
      <c r="B12" s="48" t="s">
        <v>28</v>
      </c>
      <c r="C12" s="48" t="s">
        <v>30</v>
      </c>
      <c r="D12" s="49">
        <v>0.0</v>
      </c>
      <c r="E12" s="50">
        <f t="shared" si="1"/>
        <v>0</v>
      </c>
      <c r="F12" s="51"/>
      <c r="G12" s="50">
        <v>0.0</v>
      </c>
      <c r="H12" s="50">
        <f t="shared" si="2"/>
        <v>0</v>
      </c>
    </row>
    <row r="13" ht="14.25" customHeight="1">
      <c r="A13" s="47" t="s">
        <v>31</v>
      </c>
      <c r="B13" s="48" t="s">
        <v>32</v>
      </c>
      <c r="C13" s="48" t="s">
        <v>33</v>
      </c>
      <c r="D13" s="49">
        <v>53835.0</v>
      </c>
      <c r="E13" s="50">
        <f t="shared" si="1"/>
        <v>1292040</v>
      </c>
      <c r="F13" s="51">
        <f>1-(G13/D13)</f>
        <v>0.8153487508</v>
      </c>
      <c r="G13" s="50">
        <v>9940.7</v>
      </c>
      <c r="H13" s="50">
        <f t="shared" si="2"/>
        <v>238576.8</v>
      </c>
    </row>
    <row r="14" ht="14.25" customHeight="1">
      <c r="A14" s="47" t="s">
        <v>31</v>
      </c>
      <c r="B14" s="48" t="s">
        <v>32</v>
      </c>
      <c r="C14" s="48" t="s">
        <v>34</v>
      </c>
      <c r="D14" s="49">
        <v>0.0</v>
      </c>
      <c r="E14" s="50">
        <f t="shared" si="1"/>
        <v>0</v>
      </c>
      <c r="F14" s="51"/>
      <c r="G14" s="50">
        <v>0.0</v>
      </c>
      <c r="H14" s="50">
        <f t="shared" si="2"/>
        <v>0</v>
      </c>
    </row>
    <row r="15" ht="14.25" customHeight="1">
      <c r="A15" s="47" t="s">
        <v>35</v>
      </c>
      <c r="B15" s="48" t="s">
        <v>36</v>
      </c>
      <c r="C15" s="48" t="s">
        <v>37</v>
      </c>
      <c r="D15" s="49">
        <v>376.0</v>
      </c>
      <c r="E15" s="50">
        <f t="shared" si="1"/>
        <v>2256</v>
      </c>
      <c r="F15" s="51">
        <f>1-(G15/D15)</f>
        <v>0.7425797872</v>
      </c>
      <c r="G15" s="50">
        <v>96.79</v>
      </c>
      <c r="H15" s="50">
        <f t="shared" si="2"/>
        <v>580.74</v>
      </c>
    </row>
    <row r="16" ht="14.25" customHeight="1">
      <c r="A16" s="47" t="s">
        <v>35</v>
      </c>
      <c r="B16" s="48" t="s">
        <v>36</v>
      </c>
      <c r="C16" s="48" t="s">
        <v>30</v>
      </c>
      <c r="D16" s="49">
        <v>0.0</v>
      </c>
      <c r="E16" s="50">
        <f t="shared" si="1"/>
        <v>0</v>
      </c>
      <c r="F16" s="51"/>
      <c r="G16" s="50">
        <v>0.0</v>
      </c>
      <c r="H16" s="50">
        <f t="shared" si="2"/>
        <v>0</v>
      </c>
    </row>
    <row r="17" ht="14.25" customHeight="1">
      <c r="A17" s="47" t="s">
        <v>27</v>
      </c>
      <c r="B17" s="48" t="s">
        <v>38</v>
      </c>
      <c r="C17" s="48" t="s">
        <v>39</v>
      </c>
      <c r="D17" s="49">
        <v>11155.0</v>
      </c>
      <c r="E17" s="50">
        <f t="shared" si="1"/>
        <v>22310</v>
      </c>
      <c r="F17" s="51">
        <f>1-(G17/D17)</f>
        <v>0.8883532048</v>
      </c>
      <c r="G17" s="50">
        <v>1245.42</v>
      </c>
      <c r="H17" s="50">
        <f t="shared" si="2"/>
        <v>2490.84</v>
      </c>
    </row>
    <row r="18" ht="14.25" customHeight="1">
      <c r="A18" s="47" t="s">
        <v>27</v>
      </c>
      <c r="B18" s="48" t="s">
        <v>38</v>
      </c>
      <c r="C18" s="48" t="s">
        <v>30</v>
      </c>
      <c r="D18" s="49">
        <v>0.0</v>
      </c>
      <c r="E18" s="50">
        <f t="shared" si="1"/>
        <v>0</v>
      </c>
      <c r="F18" s="51"/>
      <c r="G18" s="50">
        <v>0.0</v>
      </c>
      <c r="H18" s="50">
        <f t="shared" si="2"/>
        <v>0</v>
      </c>
    </row>
    <row r="19" ht="14.25" customHeight="1">
      <c r="A19" s="47" t="s">
        <v>21</v>
      </c>
      <c r="B19" s="48" t="s">
        <v>40</v>
      </c>
      <c r="C19" s="48" t="s">
        <v>41</v>
      </c>
      <c r="D19" s="49">
        <v>234.0</v>
      </c>
      <c r="E19" s="50">
        <f t="shared" si="1"/>
        <v>234</v>
      </c>
      <c r="F19" s="51">
        <f>1-(G19/D19)</f>
        <v>0.8013675214</v>
      </c>
      <c r="G19" s="50">
        <v>46.48</v>
      </c>
      <c r="H19" s="50">
        <f t="shared" si="2"/>
        <v>46.48</v>
      </c>
    </row>
    <row r="20" ht="14.25" customHeight="1">
      <c r="A20" s="47" t="s">
        <v>21</v>
      </c>
      <c r="B20" s="48" t="s">
        <v>40</v>
      </c>
      <c r="C20" s="48" t="s">
        <v>30</v>
      </c>
      <c r="D20" s="49">
        <v>0.0</v>
      </c>
      <c r="E20" s="50">
        <f t="shared" si="1"/>
        <v>0</v>
      </c>
      <c r="F20" s="51"/>
      <c r="G20" s="50">
        <v>0.0</v>
      </c>
      <c r="H20" s="50">
        <f t="shared" si="2"/>
        <v>0</v>
      </c>
    </row>
    <row r="21" ht="14.25" customHeight="1">
      <c r="A21" s="47" t="s">
        <v>27</v>
      </c>
      <c r="B21" s="48" t="s">
        <v>42</v>
      </c>
      <c r="C21" s="48" t="s">
        <v>43</v>
      </c>
      <c r="D21" s="49">
        <v>4855.0</v>
      </c>
      <c r="E21" s="50">
        <f t="shared" si="1"/>
        <v>9710</v>
      </c>
      <c r="F21" s="51">
        <f>1-(G21/D21)</f>
        <v>0.8072193615</v>
      </c>
      <c r="G21" s="50">
        <v>935.95</v>
      </c>
      <c r="H21" s="50">
        <f t="shared" si="2"/>
        <v>1871.9</v>
      </c>
    </row>
    <row r="22" ht="14.25" customHeight="1">
      <c r="A22" s="47" t="s">
        <v>27</v>
      </c>
      <c r="B22" s="48" t="s">
        <v>42</v>
      </c>
      <c r="C22" s="48" t="s">
        <v>34</v>
      </c>
      <c r="D22" s="49">
        <v>0.0</v>
      </c>
      <c r="E22" s="50">
        <f t="shared" si="1"/>
        <v>0</v>
      </c>
      <c r="F22" s="51"/>
      <c r="G22" s="50">
        <v>0.0</v>
      </c>
      <c r="H22" s="50">
        <f t="shared" si="2"/>
        <v>0</v>
      </c>
    </row>
    <row r="23" ht="14.25" customHeight="1">
      <c r="A23" s="47" t="s">
        <v>44</v>
      </c>
      <c r="B23" s="48" t="s">
        <v>45</v>
      </c>
      <c r="C23" s="48" t="s">
        <v>46</v>
      </c>
      <c r="D23" s="49">
        <v>1588.0</v>
      </c>
      <c r="E23" s="50">
        <f t="shared" si="1"/>
        <v>6352</v>
      </c>
      <c r="F23" s="51">
        <f>1-(G23/D23)</f>
        <v>0.8151133501</v>
      </c>
      <c r="G23" s="50">
        <v>293.6</v>
      </c>
      <c r="H23" s="50">
        <f t="shared" si="2"/>
        <v>1174.4</v>
      </c>
    </row>
    <row r="24" ht="14.25" customHeight="1">
      <c r="A24" s="47" t="s">
        <v>44</v>
      </c>
      <c r="B24" s="48" t="s">
        <v>45</v>
      </c>
      <c r="C24" s="48" t="s">
        <v>47</v>
      </c>
      <c r="D24" s="49">
        <v>0.0</v>
      </c>
      <c r="E24" s="50">
        <f t="shared" si="1"/>
        <v>0</v>
      </c>
      <c r="F24" s="51"/>
      <c r="G24" s="50">
        <v>0.0</v>
      </c>
      <c r="H24" s="50">
        <f t="shared" si="2"/>
        <v>0</v>
      </c>
    </row>
    <row r="25" ht="14.25" customHeight="1">
      <c r="A25" s="47" t="s">
        <v>21</v>
      </c>
      <c r="B25" s="48" t="s">
        <v>48</v>
      </c>
      <c r="C25" s="48" t="s">
        <v>49</v>
      </c>
      <c r="D25" s="49">
        <v>114.0</v>
      </c>
      <c r="E25" s="50">
        <f t="shared" si="1"/>
        <v>114</v>
      </c>
      <c r="F25" s="51">
        <f>1-(G25/D25)</f>
        <v>0.5314035088</v>
      </c>
      <c r="G25" s="50">
        <v>53.42</v>
      </c>
      <c r="H25" s="50">
        <f t="shared" si="2"/>
        <v>53.42</v>
      </c>
    </row>
    <row r="26" ht="14.25" customHeight="1">
      <c r="A26" s="47" t="s">
        <v>21</v>
      </c>
      <c r="B26" s="48" t="s">
        <v>48</v>
      </c>
      <c r="C26" s="48" t="s">
        <v>30</v>
      </c>
      <c r="D26" s="49">
        <v>0.0</v>
      </c>
      <c r="E26" s="50">
        <f t="shared" si="1"/>
        <v>0</v>
      </c>
      <c r="F26" s="51"/>
      <c r="G26" s="50">
        <v>0.0</v>
      </c>
      <c r="H26" s="50">
        <f t="shared" si="2"/>
        <v>0</v>
      </c>
    </row>
    <row r="27" ht="14.25" customHeight="1">
      <c r="A27" s="47" t="s">
        <v>21</v>
      </c>
      <c r="B27" s="48" t="s">
        <v>50</v>
      </c>
      <c r="C27" s="48" t="s">
        <v>51</v>
      </c>
      <c r="D27" s="49">
        <v>40.0</v>
      </c>
      <c r="E27" s="50">
        <f t="shared" si="1"/>
        <v>40</v>
      </c>
      <c r="F27" s="51">
        <f t="shared" ref="F27:F28" si="4">1-(G27/D27)</f>
        <v>0.72625</v>
      </c>
      <c r="G27" s="50">
        <v>10.95</v>
      </c>
      <c r="H27" s="50">
        <f t="shared" si="2"/>
        <v>10.95</v>
      </c>
    </row>
    <row r="28" ht="14.25" customHeight="1">
      <c r="A28" s="47" t="s">
        <v>35</v>
      </c>
      <c r="B28" s="48" t="s">
        <v>52</v>
      </c>
      <c r="C28" s="48" t="s">
        <v>53</v>
      </c>
      <c r="D28" s="49">
        <v>160.0</v>
      </c>
      <c r="E28" s="50">
        <f t="shared" si="1"/>
        <v>960</v>
      </c>
      <c r="F28" s="51">
        <f t="shared" si="4"/>
        <v>0.721375</v>
      </c>
      <c r="G28" s="50">
        <v>44.58</v>
      </c>
      <c r="H28" s="50">
        <f t="shared" si="2"/>
        <v>267.48</v>
      </c>
    </row>
    <row r="29" ht="14.25" customHeight="1">
      <c r="A29" s="47" t="s">
        <v>35</v>
      </c>
      <c r="B29" s="48" t="s">
        <v>52</v>
      </c>
      <c r="C29" s="48" t="s">
        <v>30</v>
      </c>
      <c r="D29" s="49">
        <v>0.0</v>
      </c>
      <c r="E29" s="50">
        <f t="shared" si="1"/>
        <v>0</v>
      </c>
      <c r="F29" s="51"/>
      <c r="G29" s="50">
        <v>0.0</v>
      </c>
      <c r="H29" s="50">
        <f t="shared" si="2"/>
        <v>0</v>
      </c>
    </row>
    <row r="30" ht="14.25" customHeight="1">
      <c r="A30" s="47" t="s">
        <v>54</v>
      </c>
      <c r="B30" s="48" t="s">
        <v>55</v>
      </c>
      <c r="C30" s="48" t="s">
        <v>56</v>
      </c>
      <c r="D30" s="49">
        <v>41115.0</v>
      </c>
      <c r="E30" s="50">
        <f t="shared" si="1"/>
        <v>1973520</v>
      </c>
      <c r="F30" s="51">
        <f>1-(G30/D30)</f>
        <v>0.8130246869</v>
      </c>
      <c r="G30" s="50">
        <v>7687.49</v>
      </c>
      <c r="H30" s="50">
        <f t="shared" si="2"/>
        <v>368999.52</v>
      </c>
    </row>
    <row r="31" ht="14.25" customHeight="1">
      <c r="A31" s="47" t="s">
        <v>54</v>
      </c>
      <c r="B31" s="48" t="s">
        <v>55</v>
      </c>
      <c r="C31" s="48" t="s">
        <v>30</v>
      </c>
      <c r="D31" s="49">
        <v>0.0</v>
      </c>
      <c r="E31" s="50">
        <f t="shared" si="1"/>
        <v>0</v>
      </c>
      <c r="F31" s="51"/>
      <c r="G31" s="50">
        <v>0.0</v>
      </c>
      <c r="H31" s="50">
        <f t="shared" si="2"/>
        <v>0</v>
      </c>
    </row>
    <row r="32" ht="14.25" customHeight="1">
      <c r="A32" s="47" t="s">
        <v>21</v>
      </c>
      <c r="B32" s="48" t="s">
        <v>57</v>
      </c>
      <c r="C32" s="48" t="s">
        <v>58</v>
      </c>
      <c r="D32" s="49">
        <v>299.0</v>
      </c>
      <c r="E32" s="50">
        <f t="shared" si="1"/>
        <v>299</v>
      </c>
      <c r="F32" s="51">
        <f>1-(G32/D32)</f>
        <v>0.6921404682</v>
      </c>
      <c r="G32" s="50">
        <v>92.05</v>
      </c>
      <c r="H32" s="50">
        <f t="shared" si="2"/>
        <v>92.05</v>
      </c>
    </row>
    <row r="33" ht="14.25" customHeight="1">
      <c r="A33" s="47" t="s">
        <v>21</v>
      </c>
      <c r="B33" s="48" t="s">
        <v>57</v>
      </c>
      <c r="C33" s="48" t="s">
        <v>30</v>
      </c>
      <c r="D33" s="49">
        <v>0.0</v>
      </c>
      <c r="E33" s="50">
        <f t="shared" si="1"/>
        <v>0</v>
      </c>
      <c r="F33" s="51"/>
      <c r="G33" s="50">
        <v>0.0</v>
      </c>
      <c r="H33" s="50">
        <f t="shared" si="2"/>
        <v>0</v>
      </c>
    </row>
    <row r="34" ht="14.25" customHeight="1">
      <c r="A34" s="47" t="s">
        <v>21</v>
      </c>
      <c r="B34" s="48" t="s">
        <v>59</v>
      </c>
      <c r="C34" s="48" t="s">
        <v>60</v>
      </c>
      <c r="D34" s="49">
        <v>92.0</v>
      </c>
      <c r="E34" s="50">
        <f t="shared" si="1"/>
        <v>92</v>
      </c>
      <c r="F34" s="51">
        <f>1-(G34/D34)</f>
        <v>0.7147826087</v>
      </c>
      <c r="G34" s="50">
        <v>26.24</v>
      </c>
      <c r="H34" s="50">
        <f t="shared" si="2"/>
        <v>26.24</v>
      </c>
    </row>
    <row r="35" ht="14.25" customHeight="1">
      <c r="A35" s="47" t="s">
        <v>21</v>
      </c>
      <c r="B35" s="48" t="s">
        <v>59</v>
      </c>
      <c r="C35" s="48" t="s">
        <v>30</v>
      </c>
      <c r="D35" s="49">
        <v>0.0</v>
      </c>
      <c r="E35" s="50">
        <f t="shared" si="1"/>
        <v>0</v>
      </c>
      <c r="F35" s="51"/>
      <c r="G35" s="50">
        <v>0.0</v>
      </c>
      <c r="H35" s="50">
        <f t="shared" si="2"/>
        <v>0</v>
      </c>
    </row>
    <row r="36" ht="14.25" customHeight="1">
      <c r="A36" s="47" t="s">
        <v>21</v>
      </c>
      <c r="B36" s="48" t="s">
        <v>61</v>
      </c>
      <c r="C36" s="48" t="s">
        <v>62</v>
      </c>
      <c r="D36" s="49">
        <v>316.0</v>
      </c>
      <c r="E36" s="50">
        <f t="shared" si="1"/>
        <v>316</v>
      </c>
      <c r="F36" s="51">
        <f>1-(G36/D36)</f>
        <v>0.732721519</v>
      </c>
      <c r="G36" s="50">
        <v>84.46</v>
      </c>
      <c r="H36" s="50">
        <f t="shared" si="2"/>
        <v>84.46</v>
      </c>
    </row>
    <row r="37" ht="14.25" customHeight="1">
      <c r="A37" s="47" t="s">
        <v>21</v>
      </c>
      <c r="B37" s="48" t="s">
        <v>61</v>
      </c>
      <c r="C37" s="48" t="s">
        <v>30</v>
      </c>
      <c r="D37" s="49">
        <v>0.0</v>
      </c>
      <c r="E37" s="50">
        <f t="shared" si="1"/>
        <v>0</v>
      </c>
      <c r="F37" s="51"/>
      <c r="G37" s="50">
        <v>0.0</v>
      </c>
      <c r="H37" s="50">
        <f t="shared" si="2"/>
        <v>0</v>
      </c>
    </row>
    <row r="38" ht="14.25" customHeight="1">
      <c r="A38" s="47" t="s">
        <v>27</v>
      </c>
      <c r="B38" s="48" t="s">
        <v>63</v>
      </c>
      <c r="C38" s="48" t="s">
        <v>64</v>
      </c>
      <c r="D38" s="49">
        <v>280.0</v>
      </c>
      <c r="E38" s="50">
        <f t="shared" si="1"/>
        <v>560</v>
      </c>
      <c r="F38" s="51">
        <f>1-(G38/D38)</f>
        <v>0.7084285714</v>
      </c>
      <c r="G38" s="50">
        <v>81.64</v>
      </c>
      <c r="H38" s="50">
        <f t="shared" si="2"/>
        <v>163.28</v>
      </c>
    </row>
    <row r="39" ht="14.25" customHeight="1">
      <c r="A39" s="47" t="s">
        <v>27</v>
      </c>
      <c r="B39" s="48" t="s">
        <v>63</v>
      </c>
      <c r="C39" s="48" t="s">
        <v>30</v>
      </c>
      <c r="D39" s="49">
        <v>0.0</v>
      </c>
      <c r="E39" s="50">
        <f t="shared" si="1"/>
        <v>0</v>
      </c>
      <c r="F39" s="51"/>
      <c r="G39" s="50">
        <v>0.0</v>
      </c>
      <c r="H39" s="50">
        <f t="shared" si="2"/>
        <v>0</v>
      </c>
    </row>
    <row r="40" ht="14.25" customHeight="1">
      <c r="A40" s="47" t="s">
        <v>21</v>
      </c>
      <c r="B40" s="48" t="s">
        <v>65</v>
      </c>
      <c r="C40" s="48" t="s">
        <v>66</v>
      </c>
      <c r="D40" s="49">
        <v>3099.0</v>
      </c>
      <c r="E40" s="50">
        <f t="shared" si="1"/>
        <v>3099</v>
      </c>
      <c r="F40" s="51">
        <f>1-(G40/D40)</f>
        <v>0.5511777993</v>
      </c>
      <c r="G40" s="50">
        <v>1390.9</v>
      </c>
      <c r="H40" s="50">
        <f t="shared" si="2"/>
        <v>1390.9</v>
      </c>
    </row>
    <row r="41" ht="14.25" customHeight="1">
      <c r="A41" s="47" t="s">
        <v>21</v>
      </c>
      <c r="B41" s="48" t="s">
        <v>65</v>
      </c>
      <c r="C41" s="48" t="s">
        <v>30</v>
      </c>
      <c r="D41" s="49">
        <v>0.0</v>
      </c>
      <c r="E41" s="50">
        <f t="shared" si="1"/>
        <v>0</v>
      </c>
      <c r="F41" s="51"/>
      <c r="G41" s="50">
        <v>0.0</v>
      </c>
      <c r="H41" s="50">
        <f t="shared" si="2"/>
        <v>0</v>
      </c>
    </row>
    <row r="42" ht="14.25" customHeight="1">
      <c r="A42" s="47" t="s">
        <v>21</v>
      </c>
      <c r="B42" s="48" t="s">
        <v>67</v>
      </c>
      <c r="C42" s="48" t="s">
        <v>68</v>
      </c>
      <c r="D42" s="49">
        <v>999.0</v>
      </c>
      <c r="E42" s="50">
        <f t="shared" si="1"/>
        <v>999</v>
      </c>
      <c r="F42" s="51">
        <f>1-(G42/D42)</f>
        <v>0.3650750751</v>
      </c>
      <c r="G42" s="50">
        <v>634.29</v>
      </c>
      <c r="H42" s="50">
        <f t="shared" si="2"/>
        <v>634.29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2022-12-01T09:02:55Z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0x010100E30732A0C2C9FE4BA03DB4186A8A8C7C</vt:lpwstr>
  </property>
</Properties>
</file>