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<sst xmlns="http://schemas.openxmlformats.org/spreadsheetml/2006/main" count="438" uniqueCount="157">
  <si>
    <t>Line Number</t>
  </si>
  <si>
    <t>Part Number</t>
  </si>
  <si>
    <t>Smart Account Mandatory</t>
  </si>
  <si>
    <t>Description</t>
  </si>
  <si>
    <t>Service Duration (Months)</t>
  </si>
  <si>
    <t>Estimated Lead Time (Days)</t>
  </si>
  <si>
    <t>Unit List Price</t>
  </si>
  <si>
    <t>Pricing Term</t>
  </si>
  <si>
    <t>Qty</t>
  </si>
  <si>
    <t>Unit Net Price</t>
  </si>
  <si>
    <t>Disc(%)</t>
  </si>
  <si>
    <t>Extended Net Price</t>
  </si>
  <si>
    <t>Group Name: Nexus Switches + Optics</t>
  </si>
  <si>
    <t>1.0</t>
  </si>
  <si>
    <t>N9K-C9332D-GX2B</t>
  </si>
  <si>
    <t>-</t>
  </si>
  <si>
    <t>Nexus 9300 Series, 32p 400G Switch</t>
  </si>
  <si>
    <t>---</t>
  </si>
  <si>
    <t/>
  </si>
  <si>
    <t>1.0.1</t>
  </si>
  <si>
    <t>CON-L1SNB-N9KC9D3X</t>
  </si>
  <si>
    <t>ENH 8X5XSNBDCX LEVEL 1 8X5XNBD Nexus 9300 Series 32</t>
  </si>
  <si>
    <t>N/A</t>
  </si>
  <si>
    <t>1.1</t>
  </si>
  <si>
    <t>MODE-NXOS</t>
  </si>
  <si>
    <t>Mode selection between ACI and NXOS</t>
  </si>
  <si>
    <t>1.2</t>
  </si>
  <si>
    <t>NXK-ACC-KIT-1RU</t>
  </si>
  <si>
    <t>A</t>
  </si>
  <si>
    <t>Nexus 3K/9K Fixed Accessory Kit,  1RU front and rear removal</t>
  </si>
  <si>
    <t>1.3</t>
  </si>
  <si>
    <t>QDD-400-CU1M</t>
  </si>
  <si>
    <t>400G Passive Cable, 1m</t>
  </si>
  <si>
    <t>1.4</t>
  </si>
  <si>
    <t>C1E1TN9300XF2-5Y</t>
  </si>
  <si>
    <t>Yes</t>
  </si>
  <si>
    <t>Data Center Networking Essentials Term N9300 XF2, 5Y</t>
  </si>
  <si>
    <t xml:space="preserve">Initial Term - 60.00 Months   |   Auto Renewal Term - 0 Months   |   Billing Model - Prepaid Term </t>
  </si>
  <si>
    <t>1.5</t>
  </si>
  <si>
    <t>SVS-L1N9KE-XF2-5Y</t>
  </si>
  <si>
    <t>Cisco Support Enhanced for DCN Essentials Term N9300 XF2, 5Y</t>
  </si>
  <si>
    <t>1.6</t>
  </si>
  <si>
    <t>DCN-ADOPT-BAS</t>
  </si>
  <si>
    <t>Nexus(DCN) - Virtual adopt session http://cs.co/requestCSS</t>
  </si>
  <si>
    <t>1.7</t>
  </si>
  <si>
    <t>NXK-AF-PE</t>
  </si>
  <si>
    <t>Dummy PID for Airflow Selection Port-side Exhaust</t>
  </si>
  <si>
    <t>1.8</t>
  </si>
  <si>
    <t>NXOS-CS-10.6.1F</t>
  </si>
  <si>
    <t>Nexus 9300, 9500, 9800 NX-OS SW 10.6.1 (64bit) Cisco Silicon</t>
  </si>
  <si>
    <t>1.9</t>
  </si>
  <si>
    <t>NXA-SFAN-35CFM-PE</t>
  </si>
  <si>
    <t>Nexus Fan, 35CFM, port side exhaust airflow /w EEPROM</t>
  </si>
  <si>
    <t>1.10</t>
  </si>
  <si>
    <t>NXA-PAC-1500W-PE</t>
  </si>
  <si>
    <t>Nexus 1500W PSU port-side Exhaust</t>
  </si>
  <si>
    <t>1.11</t>
  </si>
  <si>
    <t>CAB-C15-CBN</t>
  </si>
  <si>
    <t>Cabinet Jumper Power Cord, 250 VAC 13A, C14-C15 Connectors</t>
  </si>
  <si>
    <t>1.12</t>
  </si>
  <si>
    <t>NXOS-SLP-INFO-9K</t>
  </si>
  <si>
    <t>Info PID for Smart Licensing using Policy for N9K</t>
  </si>
  <si>
    <t>1.13</t>
  </si>
  <si>
    <t>DCN-AI</t>
  </si>
  <si>
    <t>Select if this product will be used for AI ML Applications</t>
  </si>
  <si>
    <t>1.14</t>
  </si>
  <si>
    <t>SW-AI</t>
  </si>
  <si>
    <t>2.0</t>
  </si>
  <si>
    <t>N9K-C9364D-GX2A</t>
  </si>
  <si>
    <t>Nexus 9300 Series, 64p 400G Switch</t>
  </si>
  <si>
    <t>2.0.1</t>
  </si>
  <si>
    <t>CON-L1SNB-N9K9364C</t>
  </si>
  <si>
    <t>ENH 8X5XSNBDCX LEVEL 1 8X5XNBD Nexus 9300 Series 64</t>
  </si>
  <si>
    <t>2.1</t>
  </si>
  <si>
    <t>NXK-AF-PI</t>
  </si>
  <si>
    <t>Dummy PID for Airflow Selection Port-side Intake</t>
  </si>
  <si>
    <t>2.2</t>
  </si>
  <si>
    <t>2.3</t>
  </si>
  <si>
    <t>2.4</t>
  </si>
  <si>
    <t>NO-ACC-KIT</t>
  </si>
  <si>
    <t>No Accessory kit Chosen</t>
  </si>
  <si>
    <t>2.5</t>
  </si>
  <si>
    <t>NXASFAN-160CFM2PI</t>
  </si>
  <si>
    <t>Nexus Fan, 160CFM2, port side intake airflow /w EEPROM</t>
  </si>
  <si>
    <t>2.6</t>
  </si>
  <si>
    <t>MEM-UPG-OPT-OUT</t>
  </si>
  <si>
    <t>OPT OUT PID FOR MEM UPGRADE USE ONLY</t>
  </si>
  <si>
    <t>2.7</t>
  </si>
  <si>
    <t>NXA-PAC-3200W-PI</t>
  </si>
  <si>
    <t>Nexus 9000 3200W Power Supply, Port-side Intake</t>
  </si>
  <si>
    <t>2.8</t>
  </si>
  <si>
    <t>CAB-C19-CBN</t>
  </si>
  <si>
    <t>Cabinet Jumper Power Cord, 250 VAC 16A, C20-C19 Connectors</t>
  </si>
  <si>
    <t>2.9</t>
  </si>
  <si>
    <t>NXK-ACC-KIT2-2RU</t>
  </si>
  <si>
    <t>Nexus 9K Fixed Accessory Kit, 2RU front and rear removal</t>
  </si>
  <si>
    <t>2.10</t>
  </si>
  <si>
    <t>2.11</t>
  </si>
  <si>
    <t>NXA-ACC-QDD-DC</t>
  </si>
  <si>
    <t>Nexus Dust Cover for QDD ports</t>
  </si>
  <si>
    <t>2.12</t>
  </si>
  <si>
    <t>2.13</t>
  </si>
  <si>
    <t>2.14</t>
  </si>
  <si>
    <t>2.15</t>
  </si>
  <si>
    <t>OOB Management</t>
  </si>
  <si>
    <t>3.0</t>
  </si>
  <si>
    <t>N9K-C93108TC-FX3</t>
  </si>
  <si>
    <t>Nexus 9300 with 48p 100M/1/10GT &amp; 6p 40/100G QSFP28+</t>
  </si>
  <si>
    <t>3.0.1</t>
  </si>
  <si>
    <t>CON-L1SNB-N9KTCFX3</t>
  </si>
  <si>
    <t>ENH 8X5XSNBDCX LEVEL 1 8X5XNBD Nexus 9300 with 48p 1</t>
  </si>
  <si>
    <t>3.1</t>
  </si>
  <si>
    <t>3.2</t>
  </si>
  <si>
    <t>3.3</t>
  </si>
  <si>
    <t>3.4</t>
  </si>
  <si>
    <t>NXA-SFAN-35CFM-PI</t>
  </si>
  <si>
    <t>Nexus Fan, 35CFM, port side intake airflow /w EEPROM</t>
  </si>
  <si>
    <t>3.5</t>
  </si>
  <si>
    <t>3.6</t>
  </si>
  <si>
    <t>NXA-PAC-500W-PI</t>
  </si>
  <si>
    <t>Nexus NEBs AC 500W PSU -  Port Side Intake</t>
  </si>
  <si>
    <t>3.7</t>
  </si>
  <si>
    <t>CAB-C13-C14-AC</t>
  </si>
  <si>
    <t>Power cord, C13 to C14 (recessed receptacle), 10A</t>
  </si>
  <si>
    <t>3.8</t>
  </si>
  <si>
    <t>3.9</t>
  </si>
  <si>
    <t>QSFP-100G-AOC2M</t>
  </si>
  <si>
    <t>100GBASE QSFP Active Optical Cable, 2m</t>
  </si>
  <si>
    <t>3.10</t>
  </si>
  <si>
    <t>3.11</t>
  </si>
  <si>
    <t>3.12</t>
  </si>
  <si>
    <t>C1E1TN9300XF-5Y</t>
  </si>
  <si>
    <t>Data Center Networking Essentials Term N9300 XF, 5Y</t>
  </si>
  <si>
    <t>3.13</t>
  </si>
  <si>
    <t>SVS-L1N9KE-XF-5Y</t>
  </si>
  <si>
    <t>Cisco Support Enhanced for DCN Essentials Term N9300 XF, 5Y</t>
  </si>
  <si>
    <t>3.14</t>
  </si>
  <si>
    <t>3.15</t>
  </si>
  <si>
    <t>4.0</t>
  </si>
  <si>
    <t>QSFP-100G-AOC2M=</t>
  </si>
  <si>
    <t>5.0</t>
  </si>
  <si>
    <t>QDD-2Q200-CU3M=</t>
  </si>
  <si>
    <t>400G QSFP56-DD to 2x200G QSFP56 Copper Breakout Cable, 3m</t>
  </si>
  <si>
    <t>6.0</t>
  </si>
  <si>
    <t>QDD-400G-SR8-S=</t>
  </si>
  <si>
    <t>400G QSFP-DD Transceiver, MPO-16 APC, 100m OM4 MMF</t>
  </si>
  <si>
    <t>7.0</t>
  </si>
  <si>
    <t>QSFP-200G-SR4-S=</t>
  </si>
  <si>
    <t>200GBASE SR4 QSFP56 Transceiver, MPO, 100m over OM4 MMF</t>
  </si>
  <si>
    <t>Spine/Leaf optics</t>
  </si>
  <si>
    <t>8.0</t>
  </si>
  <si>
    <t>QDD-400G-DR4-S=</t>
  </si>
  <si>
    <t>400G QSFP-DD Transceiver, 400GBASE-DR4,MPO-12,500m parallel</t>
  </si>
  <si>
    <t>Spine/Leaf SMF cables</t>
  </si>
  <si>
    <t>9.0</t>
  </si>
  <si>
    <t>CB-M12-M12-SMF3M=</t>
  </si>
  <si>
    <t>CABLE, MPO12-MPO12, TRUNK CABLE, TYPE B, SMF, 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</si>
</sst>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0"/>
  </numFmts>
  <fonts count="5">
    <font>
      <sz val="10.0"/>
      <color rgb="FF000000"/>
      <name val="Arial"/>
      <scheme val="minor"/>
    </font>
    <font>
      <b/>
      <sz val="9.0"/>
      <color theme="1"/>
      <name val="Helvetica Neue"/>
    </font>
    <font/>
    <font>
      <sz val="9.0"/>
      <color theme="1"/>
      <name val="Helvetica Neue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</fills>
  <borders count="15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C0C0C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top style="thin">
        <color rgb="FF000000"/>
      </top>
    </border>
    <border>
      <right style="thin">
        <color rgb="FFC0C0C0"/>
      </right>
      <top style="thin">
        <color rgb="FF000000"/>
      </top>
    </border>
    <border>
      <bottom style="thin">
        <color rgb="FF000000"/>
      </bottom>
    </border>
    <border>
      <right style="thin">
        <color rgb="FFC0C0C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right" shrinkToFit="0" wrapText="1"/>
    </xf>
    <xf borderId="2" fillId="3" fontId="1" numFmtId="0" xfId="0" applyAlignment="1" applyBorder="1" applyFill="1" applyFont="1">
      <alignment shrinkToFit="0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ont="1">
      <alignment horizontal="right" shrinkToFit="0" wrapText="1"/>
    </xf>
    <xf borderId="3" fillId="3" fontId="1" numFmtId="0" xfId="0" applyAlignment="1" applyBorder="1" applyFont="1">
      <alignment horizontal="right" shrinkToFit="0" wrapText="1"/>
    </xf>
    <xf borderId="4" fillId="3" fontId="1" numFmtId="0" xfId="0" applyAlignment="1" applyBorder="1" applyFont="1">
      <alignment horizontal="right" shrinkToFit="0" wrapText="1"/>
    </xf>
    <xf borderId="1" fillId="3" fontId="1" numFmtId="4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wrapText="1"/>
    </xf>
    <xf borderId="1" fillId="0" fontId="3" numFmtId="4" xfId="0" applyAlignment="1" applyBorder="1" applyFont="1" applyNumberFormat="1">
      <alignment horizontal="right" shrinkToFit="0" wrapText="1"/>
    </xf>
    <xf borderId="1" fillId="0" fontId="4" numFmtId="1" xfId="0" applyBorder="1" applyFont="1" applyNumberFormat="1"/>
    <xf borderId="1" fillId="0" fontId="3" numFmtId="1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center" shrinkToFit="0" wrapText="1"/>
    </xf>
    <xf borderId="5" fillId="0" fontId="3" numFmtId="4" xfId="0" applyAlignment="1" applyBorder="1" applyFont="1" applyNumberFormat="1">
      <alignment horizontal="right" shrinkToFit="0" wrapText="1"/>
    </xf>
    <xf borderId="5" fillId="0" fontId="4" numFmtId="1" xfId="0" applyBorder="1" applyFont="1" applyNumberFormat="1"/>
    <xf borderId="5" fillId="0" fontId="3" numFmtId="1" xfId="0" applyAlignment="1" applyBorder="1" applyFont="1" applyNumberFormat="1">
      <alignment horizontal="center" shrinkToFit="0" wrapText="1"/>
    </xf>
    <xf borderId="6" fillId="0" fontId="4" numFmtId="0" xfId="0" applyBorder="1" applyFont="1"/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wrapText="1"/>
    </xf>
    <xf borderId="9" fillId="0" fontId="3" numFmtId="4" xfId="0" applyAlignment="1" applyBorder="1" applyFont="1" applyNumberFormat="1">
      <alignment horizontal="right" shrinkToFit="0" wrapText="1"/>
    </xf>
    <xf borderId="9" fillId="0" fontId="4" numFmtId="1" xfId="0" applyBorder="1" applyFont="1" applyNumberFormat="1"/>
    <xf borderId="9" fillId="0" fontId="3" numFmtId="1" xfId="0" applyAlignment="1" applyBorder="1" applyFont="1" applyNumberFormat="1">
      <alignment horizontal="center" shrinkToFit="0" wrapText="1"/>
    </xf>
    <xf borderId="10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horizontal="center" shrinkToFit="0" wrapText="1"/>
    </xf>
    <xf borderId="10" fillId="0" fontId="3" numFmtId="4" xfId="0" applyAlignment="1" applyBorder="1" applyFont="1" applyNumberFormat="1">
      <alignment horizontal="right" shrinkToFit="0" wrapText="1"/>
    </xf>
    <xf borderId="10" fillId="0" fontId="4" numFmtId="1" xfId="0" applyBorder="1" applyFont="1" applyNumberFormat="1"/>
    <xf borderId="10" fillId="0" fontId="3" numFmtId="1" xfId="0" applyAlignment="1" applyBorder="1" applyFont="1" applyNumberFormat="1">
      <alignment horizontal="center" shrinkToFit="0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vertical="top" wrapText="1"/>
    </xf>
    <xf borderId="8" fillId="0" fontId="4" numFmtId="0" xfId="0" applyBorder="1" applyFont="1"/>
    <xf borderId="5" fillId="0" fontId="1" numFmtId="0" xfId="0" applyAlignment="1" applyBorder="1" applyFont="1">
      <alignment shrinkToFit="0" vertical="top" wrapText="1"/>
    </xf>
    <xf borderId="9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" t="s">
        <v>3</v>
      </c>
    </row>
    <row r="2">
      <c r="A2" s="4" t="s">
        <v>12</v>
      </c>
      <c r="B2" s="5"/>
      <c r="C2" s="6"/>
      <c r="D2" s="7"/>
      <c r="E2" s="8"/>
      <c r="F2" s="8"/>
      <c r="G2" s="8"/>
      <c r="H2" s="8"/>
      <c r="I2" s="8"/>
      <c r="J2" s="8"/>
      <c r="K2" s="9"/>
      <c r="L2" s="10">
        <f>(L3+L4+L5+L6+L7+L8+L10+L12+L14+L15+L16+L17+L18+L19+L20+L21+L24+L25+L26+L27+L28+L29+L30+L31+L32+L33+L34+L35+L36+L37+L38+L40+L42+L45+L46+L47+L48+L49+L50+L51+L52+L53+L54+L55+L56+L57+L58+L60+L62+L64+L66+L67+L68+L69+L71+L73)</f>
        <v>217331.29</v>
      </c>
      <c r="M2" s="7"/>
    </row>
    <row r="3">
      <c r="A3" s="11" t="s">
        <v>13</v>
      </c>
      <c r="B3" s="12" t="s">
        <v>14</v>
      </c>
      <c r="C3" s="13" t="s">
        <v>15</v>
      </c>
      <c r="D3" s="13" t="s">
        <v>16</v>
      </c>
      <c r="E3" s="14" t="s">
        <v>17</v>
      </c>
      <c r="F3" s="14">
        <v>35.0</v>
      </c>
      <c r="G3" s="15">
        <v>74782.15</v>
      </c>
      <c r="H3" s="16" t="s">
        <v>18</v>
      </c>
      <c r="I3" s="17">
        <v>2.0</v>
      </c>
      <c r="J3" s="15">
        <f t="shared" ref="J3:J7" si="1">ROUND(G3-((G3*K3)/100),2)</f>
        <v>14956.43</v>
      </c>
      <c r="K3" s="15">
        <v>80.0</v>
      </c>
      <c r="L3" s="15">
        <f t="shared" ref="L3:L7" si="2">ROUND((I3 * J3),2)</f>
        <v>29912.86</v>
      </c>
      <c r="M3" s="13" t="s">
        <v>16</v>
      </c>
    </row>
    <row r="4">
      <c r="A4" s="18" t="s">
        <v>19</v>
      </c>
      <c r="B4" s="18" t="s">
        <v>20</v>
      </c>
      <c r="C4" s="18" t="s">
        <v>15</v>
      </c>
      <c r="D4" s="13" t="s">
        <v>21</v>
      </c>
      <c r="E4" s="14">
        <v>60.0</v>
      </c>
      <c r="F4" s="14" t="s">
        <v>22</v>
      </c>
      <c r="G4" s="15">
        <v>23184.0</v>
      </c>
      <c r="H4" s="16" t="s">
        <v>18</v>
      </c>
      <c r="I4" s="17">
        <v>2.0</v>
      </c>
      <c r="J4" s="15">
        <f t="shared" si="1"/>
        <v>0</v>
      </c>
      <c r="K4" s="15">
        <v>100.0</v>
      </c>
      <c r="L4" s="15">
        <f t="shared" si="2"/>
        <v>0</v>
      </c>
      <c r="M4" s="13" t="s">
        <v>21</v>
      </c>
    </row>
    <row r="5">
      <c r="A5" s="18" t="s">
        <v>23</v>
      </c>
      <c r="B5" s="18" t="s">
        <v>24</v>
      </c>
      <c r="C5" s="18" t="s">
        <v>15</v>
      </c>
      <c r="D5" s="13" t="s">
        <v>25</v>
      </c>
      <c r="E5" s="14" t="s">
        <v>17</v>
      </c>
      <c r="F5" s="14">
        <v>21.0</v>
      </c>
      <c r="G5" s="15">
        <v>0.0</v>
      </c>
      <c r="H5" s="16" t="s">
        <v>18</v>
      </c>
      <c r="I5" s="17">
        <v>2.0</v>
      </c>
      <c r="J5" s="15">
        <f t="shared" si="1"/>
        <v>0</v>
      </c>
      <c r="K5" s="15">
        <v>80.0</v>
      </c>
      <c r="L5" s="15">
        <f t="shared" si="2"/>
        <v>0</v>
      </c>
      <c r="M5" s="13" t="s">
        <v>25</v>
      </c>
    </row>
    <row r="6">
      <c r="A6" s="18" t="s">
        <v>26</v>
      </c>
      <c r="B6" s="18" t="s">
        <v>27</v>
      </c>
      <c r="C6" s="19" t="s">
        <v>28</v>
      </c>
      <c r="D6" s="13" t="s">
        <v>29</v>
      </c>
      <c r="E6" s="14" t="s">
        <v>17</v>
      </c>
      <c r="F6" s="14">
        <v>14.0</v>
      </c>
      <c r="G6" s="15">
        <v>0.0</v>
      </c>
      <c r="H6" s="16" t="s">
        <v>18</v>
      </c>
      <c r="I6" s="17">
        <v>2.0</v>
      </c>
      <c r="J6" s="15">
        <f t="shared" si="1"/>
        <v>0</v>
      </c>
      <c r="K6" s="15">
        <v>80.0</v>
      </c>
      <c r="L6" s="15">
        <f t="shared" si="2"/>
        <v>0</v>
      </c>
      <c r="M6" s="13" t="s">
        <v>29</v>
      </c>
    </row>
    <row r="7">
      <c r="A7" s="18" t="s">
        <v>30</v>
      </c>
      <c r="B7" s="18" t="s">
        <v>31</v>
      </c>
      <c r="C7" s="18" t="s">
        <v>15</v>
      </c>
      <c r="D7" s="13" t="s">
        <v>32</v>
      </c>
      <c r="E7" s="14" t="s">
        <v>17</v>
      </c>
      <c r="F7" s="14">
        <v>17.0</v>
      </c>
      <c r="G7" s="15">
        <v>1036.48</v>
      </c>
      <c r="H7" s="16" t="s">
        <v>18</v>
      </c>
      <c r="I7" s="17">
        <v>2.0</v>
      </c>
      <c r="J7" s="15">
        <f t="shared" si="1"/>
        <v>207.3</v>
      </c>
      <c r="K7" s="15">
        <v>80.0</v>
      </c>
      <c r="L7" s="15">
        <f t="shared" si="2"/>
        <v>414.6</v>
      </c>
      <c r="M7" s="13" t="s">
        <v>32</v>
      </c>
    </row>
    <row r="8">
      <c r="A8" s="18" t="s">
        <v>33</v>
      </c>
      <c r="B8" s="20" t="s">
        <v>34</v>
      </c>
      <c r="C8" s="20" t="s">
        <v>35</v>
      </c>
      <c r="D8" s="21" t="s">
        <v>36</v>
      </c>
      <c r="E8" s="22" t="s">
        <v>17</v>
      </c>
      <c r="F8" s="22">
        <v>3.0</v>
      </c>
      <c r="G8" s="23">
        <v>43114.8</v>
      </c>
      <c r="H8" s="24" t="s">
        <v>18</v>
      </c>
      <c r="I8" s="25">
        <v>2.0</v>
      </c>
      <c r="J8" s="23">
        <f>ROUND((ROUND(718.58-((718.58*K8)/100),2) * (60)),2)</f>
        <v>8623.2</v>
      </c>
      <c r="K8" s="23">
        <v>80.0</v>
      </c>
      <c r="L8" s="23">
        <f>ROUND((ROUND(718.58-((718.58*K8)/100),2) * I8 * (60)),2)</f>
        <v>17246.4</v>
      </c>
      <c r="M8" s="21" t="s">
        <v>36</v>
      </c>
    </row>
    <row r="9">
      <c r="A9" s="26" t="s">
        <v>18</v>
      </c>
      <c r="B9" s="27" t="s">
        <v>37</v>
      </c>
      <c r="C9" s="27"/>
      <c r="D9" s="27"/>
      <c r="E9" s="27"/>
      <c r="F9" s="27"/>
      <c r="G9" s="27"/>
      <c r="H9" s="27"/>
      <c r="I9" s="27"/>
      <c r="J9" s="27"/>
      <c r="K9" s="27"/>
      <c r="L9" s="28"/>
      <c r="M9" s="27"/>
    </row>
    <row r="10">
      <c r="A10" s="18" t="s">
        <v>38</v>
      </c>
      <c r="B10" s="29" t="s">
        <v>39</v>
      </c>
      <c r="C10" s="29" t="s">
        <v>35</v>
      </c>
      <c r="D10" s="30" t="s">
        <v>40</v>
      </c>
      <c r="E10" s="31" t="s">
        <v>17</v>
      </c>
      <c r="F10" s="31">
        <v>3.0</v>
      </c>
      <c r="G10" s="32">
        <v>0.0</v>
      </c>
      <c r="H10" s="33" t="s">
        <v>18</v>
      </c>
      <c r="I10" s="34">
        <v>2.0</v>
      </c>
      <c r="J10" s="32">
        <f>ROUND((ROUND(0-((0*K10)/100),2) * (60)),2)</f>
        <v>0</v>
      </c>
      <c r="K10" s="32">
        <v>80.0</v>
      </c>
      <c r="L10" s="32">
        <f>ROUND((ROUND(0-((0*K10)/100),2) * I10 * (60)),2)</f>
        <v>0</v>
      </c>
      <c r="M10" s="30" t="s">
        <v>40</v>
      </c>
    </row>
    <row r="11">
      <c r="A11" s="26" t="s">
        <v>18</v>
      </c>
      <c r="B11" s="27" t="s">
        <v>37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7"/>
    </row>
    <row r="12">
      <c r="A12" s="18" t="s">
        <v>41</v>
      </c>
      <c r="B12" s="29" t="s">
        <v>42</v>
      </c>
      <c r="C12" s="29" t="s">
        <v>15</v>
      </c>
      <c r="D12" s="30" t="s">
        <v>43</v>
      </c>
      <c r="E12" s="31" t="s">
        <v>17</v>
      </c>
      <c r="F12" s="31">
        <v>3.0</v>
      </c>
      <c r="G12" s="32">
        <v>0.0</v>
      </c>
      <c r="H12" s="33" t="s">
        <v>18</v>
      </c>
      <c r="I12" s="34">
        <v>2.0</v>
      </c>
      <c r="J12" s="32">
        <f>ROUND((ROUND(0-((0*K12)/100),2) * (60)),2)</f>
        <v>0</v>
      </c>
      <c r="K12" s="32">
        <v>80.0</v>
      </c>
      <c r="L12" s="32">
        <f>ROUND((ROUND(0-((0*K12)/100),2) * I12 * (60)),2)</f>
        <v>0</v>
      </c>
      <c r="M12" s="30" t="s">
        <v>43</v>
      </c>
    </row>
    <row r="13">
      <c r="A13" s="26" t="s">
        <v>18</v>
      </c>
      <c r="B13" s="27" t="s">
        <v>37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27"/>
    </row>
    <row r="14">
      <c r="A14" s="18" t="s">
        <v>44</v>
      </c>
      <c r="B14" s="35" t="s">
        <v>45</v>
      </c>
      <c r="C14" s="35" t="s">
        <v>15</v>
      </c>
      <c r="D14" s="36" t="s">
        <v>46</v>
      </c>
      <c r="E14" s="37" t="s">
        <v>17</v>
      </c>
      <c r="F14" s="37">
        <v>14.0</v>
      </c>
      <c r="G14" s="38">
        <v>0.0</v>
      </c>
      <c r="H14" s="39" t="s">
        <v>18</v>
      </c>
      <c r="I14" s="40">
        <v>2.0</v>
      </c>
      <c r="J14" s="38">
        <f t="shared" ref="J14:J20" si="3">ROUND(G14-((G14*K14)/100),2)</f>
        <v>0</v>
      </c>
      <c r="K14" s="38">
        <v>80.0</v>
      </c>
      <c r="L14" s="38">
        <f t="shared" ref="L14:L20" si="4">ROUND((I14 * J14),2)</f>
        <v>0</v>
      </c>
      <c r="M14" s="36" t="s">
        <v>46</v>
      </c>
    </row>
    <row r="15">
      <c r="A15" s="18" t="s">
        <v>47</v>
      </c>
      <c r="B15" s="18" t="s">
        <v>48</v>
      </c>
      <c r="C15" s="18" t="s">
        <v>35</v>
      </c>
      <c r="D15" s="13" t="s">
        <v>49</v>
      </c>
      <c r="E15" s="14" t="s">
        <v>17</v>
      </c>
      <c r="F15" s="14">
        <v>21.0</v>
      </c>
      <c r="G15" s="15">
        <v>0.0</v>
      </c>
      <c r="H15" s="16" t="s">
        <v>18</v>
      </c>
      <c r="I15" s="17">
        <v>2.0</v>
      </c>
      <c r="J15" s="15">
        <f t="shared" si="3"/>
        <v>0</v>
      </c>
      <c r="K15" s="15">
        <v>80.0</v>
      </c>
      <c r="L15" s="15">
        <f t="shared" si="4"/>
        <v>0</v>
      </c>
      <c r="M15" s="13" t="s">
        <v>49</v>
      </c>
    </row>
    <row r="16">
      <c r="A16" s="18" t="s">
        <v>50</v>
      </c>
      <c r="B16" s="18" t="s">
        <v>51</v>
      </c>
      <c r="C16" s="18" t="s">
        <v>15</v>
      </c>
      <c r="D16" s="13" t="s">
        <v>52</v>
      </c>
      <c r="E16" s="14" t="s">
        <v>17</v>
      </c>
      <c r="F16" s="14">
        <v>14.0</v>
      </c>
      <c r="G16" s="15">
        <v>0.0</v>
      </c>
      <c r="H16" s="16" t="s">
        <v>18</v>
      </c>
      <c r="I16" s="17">
        <v>12.0</v>
      </c>
      <c r="J16" s="15">
        <f t="shared" si="3"/>
        <v>0</v>
      </c>
      <c r="K16" s="15">
        <v>80.0</v>
      </c>
      <c r="L16" s="15">
        <f t="shared" si="4"/>
        <v>0</v>
      </c>
      <c r="M16" s="13" t="s">
        <v>52</v>
      </c>
    </row>
    <row r="17">
      <c r="A17" s="18" t="s">
        <v>53</v>
      </c>
      <c r="B17" s="18" t="s">
        <v>54</v>
      </c>
      <c r="C17" s="18" t="s">
        <v>15</v>
      </c>
      <c r="D17" s="13" t="s">
        <v>55</v>
      </c>
      <c r="E17" s="14" t="s">
        <v>17</v>
      </c>
      <c r="F17" s="14">
        <v>14.0</v>
      </c>
      <c r="G17" s="15">
        <v>0.0</v>
      </c>
      <c r="H17" s="16" t="s">
        <v>18</v>
      </c>
      <c r="I17" s="17">
        <v>4.0</v>
      </c>
      <c r="J17" s="15">
        <f t="shared" si="3"/>
        <v>0</v>
      </c>
      <c r="K17" s="15">
        <v>80.0</v>
      </c>
      <c r="L17" s="15">
        <f t="shared" si="4"/>
        <v>0</v>
      </c>
      <c r="M17" s="13" t="s">
        <v>55</v>
      </c>
    </row>
    <row r="18">
      <c r="A18" s="18" t="s">
        <v>56</v>
      </c>
      <c r="B18" s="18" t="s">
        <v>57</v>
      </c>
      <c r="C18" s="18" t="s">
        <v>15</v>
      </c>
      <c r="D18" s="13" t="s">
        <v>58</v>
      </c>
      <c r="E18" s="14" t="s">
        <v>17</v>
      </c>
      <c r="F18" s="14">
        <v>7.0</v>
      </c>
      <c r="G18" s="15">
        <v>0.0</v>
      </c>
      <c r="H18" s="16" t="s">
        <v>18</v>
      </c>
      <c r="I18" s="17">
        <v>4.0</v>
      </c>
      <c r="J18" s="15">
        <f t="shared" si="3"/>
        <v>0</v>
      </c>
      <c r="K18" s="15">
        <v>80.0</v>
      </c>
      <c r="L18" s="15">
        <f t="shared" si="4"/>
        <v>0</v>
      </c>
      <c r="M18" s="13" t="s">
        <v>58</v>
      </c>
    </row>
    <row r="19">
      <c r="A19" s="18" t="s">
        <v>59</v>
      </c>
      <c r="B19" s="18" t="s">
        <v>60</v>
      </c>
      <c r="C19" s="18" t="s">
        <v>15</v>
      </c>
      <c r="D19" s="13" t="s">
        <v>61</v>
      </c>
      <c r="E19" s="14" t="s">
        <v>17</v>
      </c>
      <c r="F19" s="14">
        <v>21.0</v>
      </c>
      <c r="G19" s="15">
        <v>0.0</v>
      </c>
      <c r="H19" s="16" t="s">
        <v>18</v>
      </c>
      <c r="I19" s="17">
        <v>2.0</v>
      </c>
      <c r="J19" s="15">
        <f t="shared" si="3"/>
        <v>0</v>
      </c>
      <c r="K19" s="15">
        <v>80.0</v>
      </c>
      <c r="L19" s="15">
        <f t="shared" si="4"/>
        <v>0</v>
      </c>
      <c r="M19" s="13" t="s">
        <v>61</v>
      </c>
    </row>
    <row r="20">
      <c r="A20" s="18" t="s">
        <v>62</v>
      </c>
      <c r="B20" s="18" t="s">
        <v>63</v>
      </c>
      <c r="C20" s="18" t="s">
        <v>15</v>
      </c>
      <c r="D20" s="13" t="s">
        <v>64</v>
      </c>
      <c r="E20" s="14" t="s">
        <v>17</v>
      </c>
      <c r="F20" s="14">
        <v>3.0</v>
      </c>
      <c r="G20" s="15">
        <v>0.0</v>
      </c>
      <c r="H20" s="16" t="s">
        <v>18</v>
      </c>
      <c r="I20" s="17">
        <v>2.0</v>
      </c>
      <c r="J20" s="15">
        <f t="shared" si="3"/>
        <v>0</v>
      </c>
      <c r="K20" s="15">
        <v>80.0</v>
      </c>
      <c r="L20" s="15">
        <f t="shared" si="4"/>
        <v>0</v>
      </c>
      <c r="M20" s="13" t="s">
        <v>64</v>
      </c>
    </row>
    <row r="21">
      <c r="A21" s="18" t="s">
        <v>65</v>
      </c>
      <c r="B21" s="20" t="s">
        <v>66</v>
      </c>
      <c r="C21" s="20" t="s">
        <v>15</v>
      </c>
      <c r="D21" s="21" t="s">
        <v>64</v>
      </c>
      <c r="E21" s="22" t="s">
        <v>17</v>
      </c>
      <c r="F21" s="22">
        <v>3.0</v>
      </c>
      <c r="G21" s="23">
        <v>0.0</v>
      </c>
      <c r="H21" s="24" t="s">
        <v>18</v>
      </c>
      <c r="I21" s="25">
        <v>2.0</v>
      </c>
      <c r="J21" s="23">
        <f>ROUND((ROUND(0-((0*K21)/100),2) * (60)),2)</f>
        <v>0</v>
      </c>
      <c r="K21" s="23">
        <v>80.0</v>
      </c>
      <c r="L21" s="23">
        <f>ROUND((ROUND(0-((0*K21)/100),2) * I21 * (60)),2)</f>
        <v>0</v>
      </c>
      <c r="M21" s="21" t="s">
        <v>64</v>
      </c>
    </row>
    <row r="22">
      <c r="A22" s="26" t="s">
        <v>18</v>
      </c>
      <c r="B22" s="41" t="s">
        <v>37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  <c r="M22" s="41"/>
    </row>
    <row r="23">
      <c r="A23" s="26" t="s">
        <v>18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4"/>
      <c r="M23" s="43"/>
    </row>
    <row r="24">
      <c r="A24" s="11" t="s">
        <v>67</v>
      </c>
      <c r="B24" s="45" t="s">
        <v>68</v>
      </c>
      <c r="C24" s="36" t="s">
        <v>15</v>
      </c>
      <c r="D24" s="36" t="s">
        <v>69</v>
      </c>
      <c r="E24" s="37" t="s">
        <v>17</v>
      </c>
      <c r="F24" s="37">
        <v>14.0</v>
      </c>
      <c r="G24" s="38">
        <v>155472.24</v>
      </c>
      <c r="H24" s="39" t="s">
        <v>18</v>
      </c>
      <c r="I24" s="40">
        <v>2.0</v>
      </c>
      <c r="J24" s="38">
        <f t="shared" ref="J24:J37" si="5">ROUND(G24-((G24*K24)/100),2)</f>
        <v>31094.45</v>
      </c>
      <c r="K24" s="38">
        <v>80.0</v>
      </c>
      <c r="L24" s="38">
        <f t="shared" ref="L24:L37" si="6">ROUND((I24 * J24),2)</f>
        <v>62188.9</v>
      </c>
      <c r="M24" s="36" t="s">
        <v>69</v>
      </c>
    </row>
    <row r="25">
      <c r="A25" s="18" t="s">
        <v>70</v>
      </c>
      <c r="B25" s="18" t="s">
        <v>71</v>
      </c>
      <c r="C25" s="18" t="s">
        <v>15</v>
      </c>
      <c r="D25" s="13" t="s">
        <v>72</v>
      </c>
      <c r="E25" s="14">
        <v>60.0</v>
      </c>
      <c r="F25" s="14" t="s">
        <v>22</v>
      </c>
      <c r="G25" s="15">
        <v>48202.25</v>
      </c>
      <c r="H25" s="16" t="s">
        <v>18</v>
      </c>
      <c r="I25" s="17">
        <v>2.0</v>
      </c>
      <c r="J25" s="15">
        <f t="shared" si="5"/>
        <v>0</v>
      </c>
      <c r="K25" s="15">
        <v>100.0</v>
      </c>
      <c r="L25" s="15">
        <f t="shared" si="6"/>
        <v>0</v>
      </c>
      <c r="M25" s="13" t="s">
        <v>72</v>
      </c>
    </row>
    <row r="26">
      <c r="A26" s="18" t="s">
        <v>73</v>
      </c>
      <c r="B26" s="18" t="s">
        <v>74</v>
      </c>
      <c r="C26" s="18" t="s">
        <v>15</v>
      </c>
      <c r="D26" s="13" t="s">
        <v>75</v>
      </c>
      <c r="E26" s="14" t="s">
        <v>17</v>
      </c>
      <c r="F26" s="14">
        <v>14.0</v>
      </c>
      <c r="G26" s="15">
        <v>0.0</v>
      </c>
      <c r="H26" s="16" t="s">
        <v>18</v>
      </c>
      <c r="I26" s="17">
        <v>2.0</v>
      </c>
      <c r="J26" s="15">
        <f t="shared" si="5"/>
        <v>0</v>
      </c>
      <c r="K26" s="15">
        <v>80.0</v>
      </c>
      <c r="L26" s="15">
        <f t="shared" si="6"/>
        <v>0</v>
      </c>
      <c r="M26" s="13" t="s">
        <v>75</v>
      </c>
    </row>
    <row r="27">
      <c r="A27" s="18" t="s">
        <v>76</v>
      </c>
      <c r="B27" s="18" t="s">
        <v>24</v>
      </c>
      <c r="C27" s="18" t="s">
        <v>15</v>
      </c>
      <c r="D27" s="13" t="s">
        <v>25</v>
      </c>
      <c r="E27" s="14" t="s">
        <v>17</v>
      </c>
      <c r="F27" s="14">
        <v>21.0</v>
      </c>
      <c r="G27" s="15">
        <v>0.0</v>
      </c>
      <c r="H27" s="16" t="s">
        <v>18</v>
      </c>
      <c r="I27" s="17">
        <v>2.0</v>
      </c>
      <c r="J27" s="15">
        <f t="shared" si="5"/>
        <v>0</v>
      </c>
      <c r="K27" s="15">
        <v>80.0</v>
      </c>
      <c r="L27" s="15">
        <f t="shared" si="6"/>
        <v>0</v>
      </c>
      <c r="M27" s="13" t="s">
        <v>25</v>
      </c>
    </row>
    <row r="28">
      <c r="A28" s="18" t="s">
        <v>77</v>
      </c>
      <c r="B28" s="18" t="s">
        <v>48</v>
      </c>
      <c r="C28" s="18" t="s">
        <v>35</v>
      </c>
      <c r="D28" s="13" t="s">
        <v>49</v>
      </c>
      <c r="E28" s="14" t="s">
        <v>17</v>
      </c>
      <c r="F28" s="14">
        <v>21.0</v>
      </c>
      <c r="G28" s="15">
        <v>0.0</v>
      </c>
      <c r="H28" s="16" t="s">
        <v>18</v>
      </c>
      <c r="I28" s="17">
        <v>2.0</v>
      </c>
      <c r="J28" s="15">
        <f t="shared" si="5"/>
        <v>0</v>
      </c>
      <c r="K28" s="15">
        <v>80.0</v>
      </c>
      <c r="L28" s="15">
        <f t="shared" si="6"/>
        <v>0</v>
      </c>
      <c r="M28" s="13" t="s">
        <v>49</v>
      </c>
    </row>
    <row r="29">
      <c r="A29" s="18" t="s">
        <v>78</v>
      </c>
      <c r="B29" s="18" t="s">
        <v>79</v>
      </c>
      <c r="C29" s="18" t="s">
        <v>15</v>
      </c>
      <c r="D29" s="13" t="s">
        <v>80</v>
      </c>
      <c r="E29" s="14" t="s">
        <v>17</v>
      </c>
      <c r="F29" s="14">
        <v>14.0</v>
      </c>
      <c r="G29" s="15">
        <v>0.0</v>
      </c>
      <c r="H29" s="16" t="s">
        <v>18</v>
      </c>
      <c r="I29" s="17">
        <v>2.0</v>
      </c>
      <c r="J29" s="15">
        <f t="shared" si="5"/>
        <v>0</v>
      </c>
      <c r="K29" s="15">
        <v>80.0</v>
      </c>
      <c r="L29" s="15">
        <f t="shared" si="6"/>
        <v>0</v>
      </c>
      <c r="M29" s="13" t="s">
        <v>80</v>
      </c>
    </row>
    <row r="30">
      <c r="A30" s="18" t="s">
        <v>81</v>
      </c>
      <c r="B30" s="18" t="s">
        <v>82</v>
      </c>
      <c r="C30" s="18" t="s">
        <v>15</v>
      </c>
      <c r="D30" s="13" t="s">
        <v>83</v>
      </c>
      <c r="E30" s="14" t="s">
        <v>17</v>
      </c>
      <c r="F30" s="14">
        <v>14.0</v>
      </c>
      <c r="G30" s="15">
        <v>0.0</v>
      </c>
      <c r="H30" s="16" t="s">
        <v>18</v>
      </c>
      <c r="I30" s="17">
        <v>8.0</v>
      </c>
      <c r="J30" s="15">
        <f t="shared" si="5"/>
        <v>0</v>
      </c>
      <c r="K30" s="15">
        <v>80.0</v>
      </c>
      <c r="L30" s="15">
        <f t="shared" si="6"/>
        <v>0</v>
      </c>
      <c r="M30" s="13" t="s">
        <v>83</v>
      </c>
    </row>
    <row r="31">
      <c r="A31" s="18" t="s">
        <v>84</v>
      </c>
      <c r="B31" s="18" t="s">
        <v>85</v>
      </c>
      <c r="C31" s="18" t="s">
        <v>15</v>
      </c>
      <c r="D31" s="13" t="s">
        <v>86</v>
      </c>
      <c r="E31" s="14" t="s">
        <v>17</v>
      </c>
      <c r="F31" s="14">
        <v>14.0</v>
      </c>
      <c r="G31" s="15">
        <v>0.0</v>
      </c>
      <c r="H31" s="16" t="s">
        <v>18</v>
      </c>
      <c r="I31" s="17">
        <v>2.0</v>
      </c>
      <c r="J31" s="15">
        <f t="shared" si="5"/>
        <v>0</v>
      </c>
      <c r="K31" s="15">
        <v>80.0</v>
      </c>
      <c r="L31" s="15">
        <f t="shared" si="6"/>
        <v>0</v>
      </c>
      <c r="M31" s="13" t="s">
        <v>86</v>
      </c>
    </row>
    <row r="32">
      <c r="A32" s="18" t="s">
        <v>87</v>
      </c>
      <c r="B32" s="18" t="s">
        <v>88</v>
      </c>
      <c r="C32" s="18" t="s">
        <v>15</v>
      </c>
      <c r="D32" s="13" t="s">
        <v>89</v>
      </c>
      <c r="E32" s="14" t="s">
        <v>17</v>
      </c>
      <c r="F32" s="14">
        <v>14.0</v>
      </c>
      <c r="G32" s="15">
        <v>0.0</v>
      </c>
      <c r="H32" s="16" t="s">
        <v>18</v>
      </c>
      <c r="I32" s="17">
        <v>4.0</v>
      </c>
      <c r="J32" s="15">
        <f t="shared" si="5"/>
        <v>0</v>
      </c>
      <c r="K32" s="15">
        <v>80.0</v>
      </c>
      <c r="L32" s="15">
        <f t="shared" si="6"/>
        <v>0</v>
      </c>
      <c r="M32" s="13" t="s">
        <v>89</v>
      </c>
    </row>
    <row r="33">
      <c r="A33" s="18" t="s">
        <v>90</v>
      </c>
      <c r="B33" s="18" t="s">
        <v>91</v>
      </c>
      <c r="C33" s="18" t="s">
        <v>15</v>
      </c>
      <c r="D33" s="13" t="s">
        <v>92</v>
      </c>
      <c r="E33" s="14" t="s">
        <v>17</v>
      </c>
      <c r="F33" s="14">
        <v>21.0</v>
      </c>
      <c r="G33" s="15">
        <v>0.0</v>
      </c>
      <c r="H33" s="16" t="s">
        <v>18</v>
      </c>
      <c r="I33" s="17">
        <v>4.0</v>
      </c>
      <c r="J33" s="15">
        <f t="shared" si="5"/>
        <v>0</v>
      </c>
      <c r="K33" s="15">
        <v>80.0</v>
      </c>
      <c r="L33" s="15">
        <f t="shared" si="6"/>
        <v>0</v>
      </c>
      <c r="M33" s="13" t="s">
        <v>92</v>
      </c>
    </row>
    <row r="34">
      <c r="A34" s="18" t="s">
        <v>93</v>
      </c>
      <c r="B34" s="18" t="s">
        <v>94</v>
      </c>
      <c r="C34" s="18" t="s">
        <v>15</v>
      </c>
      <c r="D34" s="13" t="s">
        <v>95</v>
      </c>
      <c r="E34" s="14" t="s">
        <v>17</v>
      </c>
      <c r="F34" s="14">
        <v>14.0</v>
      </c>
      <c r="G34" s="15">
        <v>0.0</v>
      </c>
      <c r="H34" s="16" t="s">
        <v>18</v>
      </c>
      <c r="I34" s="17">
        <v>2.0</v>
      </c>
      <c r="J34" s="15">
        <f t="shared" si="5"/>
        <v>0</v>
      </c>
      <c r="K34" s="15">
        <v>80.0</v>
      </c>
      <c r="L34" s="15">
        <f t="shared" si="6"/>
        <v>0</v>
      </c>
      <c r="M34" s="13" t="s">
        <v>95</v>
      </c>
    </row>
    <row r="35">
      <c r="A35" s="18" t="s">
        <v>96</v>
      </c>
      <c r="B35" s="18" t="s">
        <v>60</v>
      </c>
      <c r="C35" s="18" t="s">
        <v>15</v>
      </c>
      <c r="D35" s="13" t="s">
        <v>61</v>
      </c>
      <c r="E35" s="14" t="s">
        <v>17</v>
      </c>
      <c r="F35" s="14">
        <v>21.0</v>
      </c>
      <c r="G35" s="15">
        <v>0.0</v>
      </c>
      <c r="H35" s="16" t="s">
        <v>18</v>
      </c>
      <c r="I35" s="17">
        <v>2.0</v>
      </c>
      <c r="J35" s="15">
        <f t="shared" si="5"/>
        <v>0</v>
      </c>
      <c r="K35" s="15">
        <v>80.0</v>
      </c>
      <c r="L35" s="15">
        <f t="shared" si="6"/>
        <v>0</v>
      </c>
      <c r="M35" s="13" t="s">
        <v>61</v>
      </c>
    </row>
    <row r="36">
      <c r="A36" s="18" t="s">
        <v>97</v>
      </c>
      <c r="B36" s="18" t="s">
        <v>98</v>
      </c>
      <c r="C36" s="18" t="s">
        <v>15</v>
      </c>
      <c r="D36" s="13" t="s">
        <v>99</v>
      </c>
      <c r="E36" s="14" t="s">
        <v>17</v>
      </c>
      <c r="F36" s="14">
        <v>14.0</v>
      </c>
      <c r="G36" s="15">
        <v>0.0</v>
      </c>
      <c r="H36" s="16" t="s">
        <v>18</v>
      </c>
      <c r="I36" s="17">
        <v>2.0</v>
      </c>
      <c r="J36" s="15">
        <f t="shared" si="5"/>
        <v>0</v>
      </c>
      <c r="K36" s="15">
        <v>80.0</v>
      </c>
      <c r="L36" s="15">
        <f t="shared" si="6"/>
        <v>0</v>
      </c>
      <c r="M36" s="13" t="s">
        <v>99</v>
      </c>
    </row>
    <row r="37">
      <c r="A37" s="18" t="s">
        <v>100</v>
      </c>
      <c r="B37" s="18" t="s">
        <v>63</v>
      </c>
      <c r="C37" s="18" t="s">
        <v>15</v>
      </c>
      <c r="D37" s="13" t="s">
        <v>64</v>
      </c>
      <c r="E37" s="14" t="s">
        <v>17</v>
      </c>
      <c r="F37" s="14">
        <v>3.0</v>
      </c>
      <c r="G37" s="15">
        <v>0.0</v>
      </c>
      <c r="H37" s="16" t="s">
        <v>18</v>
      </c>
      <c r="I37" s="17">
        <v>2.0</v>
      </c>
      <c r="J37" s="15">
        <f t="shared" si="5"/>
        <v>0</v>
      </c>
      <c r="K37" s="15">
        <v>80.0</v>
      </c>
      <c r="L37" s="15">
        <f t="shared" si="6"/>
        <v>0</v>
      </c>
      <c r="M37" s="13" t="s">
        <v>64</v>
      </c>
    </row>
    <row r="38">
      <c r="A38" s="18" t="s">
        <v>101</v>
      </c>
      <c r="B38" s="20" t="s">
        <v>34</v>
      </c>
      <c r="C38" s="20" t="s">
        <v>35</v>
      </c>
      <c r="D38" s="21" t="s">
        <v>36</v>
      </c>
      <c r="E38" s="22" t="s">
        <v>17</v>
      </c>
      <c r="F38" s="22">
        <v>3.0</v>
      </c>
      <c r="G38" s="23">
        <v>43114.8</v>
      </c>
      <c r="H38" s="24" t="s">
        <v>18</v>
      </c>
      <c r="I38" s="25">
        <v>2.0</v>
      </c>
      <c r="J38" s="23">
        <f>ROUND((ROUND(718.58-((718.58*K38)/100),2) * (60)),2)</f>
        <v>8623.2</v>
      </c>
      <c r="K38" s="23">
        <v>80.0</v>
      </c>
      <c r="L38" s="23">
        <f>ROUND((ROUND(718.58-((718.58*K38)/100),2) * I38 * (60)),2)</f>
        <v>17246.4</v>
      </c>
      <c r="M38" s="21" t="s">
        <v>36</v>
      </c>
    </row>
    <row r="39">
      <c r="A39" s="26" t="s">
        <v>18</v>
      </c>
      <c r="B39" s="27" t="s">
        <v>37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  <c r="M39" s="27"/>
    </row>
    <row r="40">
      <c r="A40" s="18" t="s">
        <v>102</v>
      </c>
      <c r="B40" s="29" t="s">
        <v>39</v>
      </c>
      <c r="C40" s="29" t="s">
        <v>35</v>
      </c>
      <c r="D40" s="30" t="s">
        <v>40</v>
      </c>
      <c r="E40" s="31" t="s">
        <v>17</v>
      </c>
      <c r="F40" s="31">
        <v>3.0</v>
      </c>
      <c r="G40" s="32">
        <v>0.0</v>
      </c>
      <c r="H40" s="33" t="s">
        <v>18</v>
      </c>
      <c r="I40" s="34">
        <v>2.0</v>
      </c>
      <c r="J40" s="32">
        <f>ROUND((ROUND(0-((0*K40)/100),2) * (60)),2)</f>
        <v>0</v>
      </c>
      <c r="K40" s="32">
        <v>80.0</v>
      </c>
      <c r="L40" s="32">
        <f>ROUND((ROUND(0-((0*K40)/100),2) * I40 * (60)),2)</f>
        <v>0</v>
      </c>
      <c r="M40" s="30" t="s">
        <v>40</v>
      </c>
    </row>
    <row r="41">
      <c r="A41" s="26" t="s">
        <v>18</v>
      </c>
      <c r="B41" s="27" t="s">
        <v>37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  <c r="M41" s="27"/>
    </row>
    <row r="42">
      <c r="A42" s="18" t="s">
        <v>103</v>
      </c>
      <c r="B42" s="29" t="s">
        <v>66</v>
      </c>
      <c r="C42" s="29" t="s">
        <v>15</v>
      </c>
      <c r="D42" s="30" t="s">
        <v>64</v>
      </c>
      <c r="E42" s="31" t="s">
        <v>17</v>
      </c>
      <c r="F42" s="31">
        <v>3.0</v>
      </c>
      <c r="G42" s="32">
        <v>0.0</v>
      </c>
      <c r="H42" s="33" t="s">
        <v>18</v>
      </c>
      <c r="I42" s="34">
        <v>2.0</v>
      </c>
      <c r="J42" s="32">
        <f>ROUND((ROUND(0-((0*K42)/100),2) * (60)),2)</f>
        <v>0</v>
      </c>
      <c r="K42" s="32">
        <v>80.0</v>
      </c>
      <c r="L42" s="32">
        <f>ROUND((ROUND(0-((0*K42)/100),2) * I42 * (60)),2)</f>
        <v>0</v>
      </c>
      <c r="M42" s="30" t="s">
        <v>64</v>
      </c>
    </row>
    <row r="43">
      <c r="A43" s="26" t="s">
        <v>18</v>
      </c>
      <c r="B43" s="27" t="s">
        <v>37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  <c r="M43" s="27"/>
    </row>
    <row r="44">
      <c r="A44" s="26" t="s">
        <v>18</v>
      </c>
      <c r="B44" s="27" t="s">
        <v>104</v>
      </c>
      <c r="C44" s="27"/>
      <c r="D44" s="27"/>
      <c r="E44" s="27"/>
      <c r="F44" s="27"/>
      <c r="G44" s="27"/>
      <c r="H44" s="27"/>
      <c r="I44" s="27"/>
      <c r="J44" s="27"/>
      <c r="K44" s="27"/>
      <c r="L44" s="46" t="s">
        <v>18</v>
      </c>
      <c r="M44" s="27"/>
    </row>
    <row r="45">
      <c r="A45" s="11" t="s">
        <v>105</v>
      </c>
      <c r="B45" s="45" t="s">
        <v>106</v>
      </c>
      <c r="C45" s="36" t="s">
        <v>15</v>
      </c>
      <c r="D45" s="36" t="s">
        <v>107</v>
      </c>
      <c r="E45" s="37" t="s">
        <v>17</v>
      </c>
      <c r="F45" s="37">
        <v>14.0</v>
      </c>
      <c r="G45" s="38">
        <v>31094.45</v>
      </c>
      <c r="H45" s="39" t="s">
        <v>18</v>
      </c>
      <c r="I45" s="40">
        <v>1.0</v>
      </c>
      <c r="J45" s="38">
        <f t="shared" ref="J45:J57" si="7">ROUND(G45-((G45*K45)/100),2)</f>
        <v>6218.89</v>
      </c>
      <c r="K45" s="38">
        <v>80.0</v>
      </c>
      <c r="L45" s="15">
        <f t="shared" ref="L45:L57" si="8">ROUND((I45 * J45),2)</f>
        <v>6218.89</v>
      </c>
      <c r="M45" s="36" t="s">
        <v>107</v>
      </c>
    </row>
    <row r="46">
      <c r="A46" s="18" t="s">
        <v>108</v>
      </c>
      <c r="B46" s="18" t="s">
        <v>109</v>
      </c>
      <c r="C46" s="18" t="s">
        <v>15</v>
      </c>
      <c r="D46" s="13" t="s">
        <v>110</v>
      </c>
      <c r="E46" s="14">
        <v>60.0</v>
      </c>
      <c r="F46" s="14" t="s">
        <v>22</v>
      </c>
      <c r="G46" s="15">
        <v>9642.75</v>
      </c>
      <c r="H46" s="16" t="s">
        <v>18</v>
      </c>
      <c r="I46" s="17">
        <v>1.0</v>
      </c>
      <c r="J46" s="15">
        <f t="shared" si="7"/>
        <v>0</v>
      </c>
      <c r="K46" s="15">
        <v>100.0</v>
      </c>
      <c r="L46" s="15">
        <f t="shared" si="8"/>
        <v>0</v>
      </c>
      <c r="M46" s="13" t="s">
        <v>110</v>
      </c>
    </row>
    <row r="47">
      <c r="A47" s="18" t="s">
        <v>111</v>
      </c>
      <c r="B47" s="18" t="s">
        <v>74</v>
      </c>
      <c r="C47" s="18" t="s">
        <v>15</v>
      </c>
      <c r="D47" s="13" t="s">
        <v>75</v>
      </c>
      <c r="E47" s="14" t="s">
        <v>17</v>
      </c>
      <c r="F47" s="14">
        <v>14.0</v>
      </c>
      <c r="G47" s="15">
        <v>0.0</v>
      </c>
      <c r="H47" s="16" t="s">
        <v>18</v>
      </c>
      <c r="I47" s="17">
        <v>1.0</v>
      </c>
      <c r="J47" s="15">
        <f t="shared" si="7"/>
        <v>0</v>
      </c>
      <c r="K47" s="15">
        <v>80.0</v>
      </c>
      <c r="L47" s="15">
        <f t="shared" si="8"/>
        <v>0</v>
      </c>
      <c r="M47" s="13" t="s">
        <v>75</v>
      </c>
    </row>
    <row r="48">
      <c r="A48" s="18" t="s">
        <v>112</v>
      </c>
      <c r="B48" s="18" t="s">
        <v>24</v>
      </c>
      <c r="C48" s="18" t="s">
        <v>15</v>
      </c>
      <c r="D48" s="13" t="s">
        <v>25</v>
      </c>
      <c r="E48" s="14" t="s">
        <v>17</v>
      </c>
      <c r="F48" s="14">
        <v>21.0</v>
      </c>
      <c r="G48" s="15">
        <v>0.0</v>
      </c>
      <c r="H48" s="16" t="s">
        <v>18</v>
      </c>
      <c r="I48" s="17">
        <v>1.0</v>
      </c>
      <c r="J48" s="15">
        <f t="shared" si="7"/>
        <v>0</v>
      </c>
      <c r="K48" s="15">
        <v>80.0</v>
      </c>
      <c r="L48" s="15">
        <f t="shared" si="8"/>
        <v>0</v>
      </c>
      <c r="M48" s="13" t="s">
        <v>25</v>
      </c>
    </row>
    <row r="49">
      <c r="A49" s="18" t="s">
        <v>113</v>
      </c>
      <c r="B49" s="18" t="s">
        <v>48</v>
      </c>
      <c r="C49" s="18" t="s">
        <v>35</v>
      </c>
      <c r="D49" s="13" t="s">
        <v>49</v>
      </c>
      <c r="E49" s="14" t="s">
        <v>17</v>
      </c>
      <c r="F49" s="14">
        <v>21.0</v>
      </c>
      <c r="G49" s="15">
        <v>0.0</v>
      </c>
      <c r="H49" s="16" t="s">
        <v>18</v>
      </c>
      <c r="I49" s="17">
        <v>1.0</v>
      </c>
      <c r="J49" s="15">
        <f t="shared" si="7"/>
        <v>0</v>
      </c>
      <c r="K49" s="15">
        <v>80.0</v>
      </c>
      <c r="L49" s="15">
        <f t="shared" si="8"/>
        <v>0</v>
      </c>
      <c r="M49" s="13" t="s">
        <v>49</v>
      </c>
    </row>
    <row r="50">
      <c r="A50" s="18" t="s">
        <v>114</v>
      </c>
      <c r="B50" s="18" t="s">
        <v>115</v>
      </c>
      <c r="C50" s="18" t="s">
        <v>15</v>
      </c>
      <c r="D50" s="13" t="s">
        <v>116</v>
      </c>
      <c r="E50" s="14" t="s">
        <v>17</v>
      </c>
      <c r="F50" s="14">
        <v>14.0</v>
      </c>
      <c r="G50" s="15">
        <v>0.0</v>
      </c>
      <c r="H50" s="16" t="s">
        <v>18</v>
      </c>
      <c r="I50" s="17">
        <v>4.0</v>
      </c>
      <c r="J50" s="15">
        <f t="shared" si="7"/>
        <v>0</v>
      </c>
      <c r="K50" s="15">
        <v>80.0</v>
      </c>
      <c r="L50" s="15">
        <f t="shared" si="8"/>
        <v>0</v>
      </c>
      <c r="M50" s="13" t="s">
        <v>116</v>
      </c>
    </row>
    <row r="51">
      <c r="A51" s="18" t="s">
        <v>117</v>
      </c>
      <c r="B51" s="18" t="s">
        <v>85</v>
      </c>
      <c r="C51" s="18" t="s">
        <v>15</v>
      </c>
      <c r="D51" s="13" t="s">
        <v>86</v>
      </c>
      <c r="E51" s="14" t="s">
        <v>17</v>
      </c>
      <c r="F51" s="14">
        <v>14.0</v>
      </c>
      <c r="G51" s="15">
        <v>0.0</v>
      </c>
      <c r="H51" s="16" t="s">
        <v>18</v>
      </c>
      <c r="I51" s="17">
        <v>1.0</v>
      </c>
      <c r="J51" s="15">
        <f t="shared" si="7"/>
        <v>0</v>
      </c>
      <c r="K51" s="15">
        <v>80.0</v>
      </c>
      <c r="L51" s="15">
        <f t="shared" si="8"/>
        <v>0</v>
      </c>
      <c r="M51" s="13" t="s">
        <v>86</v>
      </c>
    </row>
    <row r="52">
      <c r="A52" s="18" t="s">
        <v>118</v>
      </c>
      <c r="B52" s="18" t="s">
        <v>119</v>
      </c>
      <c r="C52" s="18" t="s">
        <v>15</v>
      </c>
      <c r="D52" s="13" t="s">
        <v>120</v>
      </c>
      <c r="E52" s="14" t="s">
        <v>17</v>
      </c>
      <c r="F52" s="14">
        <v>14.0</v>
      </c>
      <c r="G52" s="15">
        <v>0.0</v>
      </c>
      <c r="H52" s="16" t="s">
        <v>18</v>
      </c>
      <c r="I52" s="17">
        <v>2.0</v>
      </c>
      <c r="J52" s="15">
        <f t="shared" si="7"/>
        <v>0</v>
      </c>
      <c r="K52" s="15">
        <v>80.0</v>
      </c>
      <c r="L52" s="15">
        <f t="shared" si="8"/>
        <v>0</v>
      </c>
      <c r="M52" s="13" t="s">
        <v>120</v>
      </c>
    </row>
    <row r="53">
      <c r="A53" s="18" t="s">
        <v>121</v>
      </c>
      <c r="B53" s="18" t="s">
        <v>122</v>
      </c>
      <c r="C53" s="18" t="s">
        <v>15</v>
      </c>
      <c r="D53" s="13" t="s">
        <v>123</v>
      </c>
      <c r="E53" s="14" t="s">
        <v>17</v>
      </c>
      <c r="F53" s="14">
        <v>14.0</v>
      </c>
      <c r="G53" s="15">
        <v>0.0</v>
      </c>
      <c r="H53" s="16" t="s">
        <v>18</v>
      </c>
      <c r="I53" s="17">
        <v>2.0</v>
      </c>
      <c r="J53" s="15">
        <f t="shared" si="7"/>
        <v>0</v>
      </c>
      <c r="K53" s="15">
        <v>80.0</v>
      </c>
      <c r="L53" s="15">
        <f t="shared" si="8"/>
        <v>0</v>
      </c>
      <c r="M53" s="13" t="s">
        <v>123</v>
      </c>
    </row>
    <row r="54">
      <c r="A54" s="18" t="s">
        <v>124</v>
      </c>
      <c r="B54" s="18" t="s">
        <v>27</v>
      </c>
      <c r="C54" s="18" t="s">
        <v>15</v>
      </c>
      <c r="D54" s="13" t="s">
        <v>29</v>
      </c>
      <c r="E54" s="14" t="s">
        <v>17</v>
      </c>
      <c r="F54" s="14">
        <v>14.0</v>
      </c>
      <c r="G54" s="15">
        <v>0.0</v>
      </c>
      <c r="H54" s="16" t="s">
        <v>18</v>
      </c>
      <c r="I54" s="17">
        <v>1.0</v>
      </c>
      <c r="J54" s="15">
        <f t="shared" si="7"/>
        <v>0</v>
      </c>
      <c r="K54" s="15">
        <v>80.0</v>
      </c>
      <c r="L54" s="15">
        <f t="shared" si="8"/>
        <v>0</v>
      </c>
      <c r="M54" s="13" t="s">
        <v>29</v>
      </c>
    </row>
    <row r="55">
      <c r="A55" s="18" t="s">
        <v>125</v>
      </c>
      <c r="B55" s="18" t="s">
        <v>126</v>
      </c>
      <c r="C55" s="18" t="s">
        <v>15</v>
      </c>
      <c r="D55" s="13" t="s">
        <v>127</v>
      </c>
      <c r="E55" s="14" t="s">
        <v>17</v>
      </c>
      <c r="F55" s="14">
        <v>17.0</v>
      </c>
      <c r="G55" s="15">
        <v>2433.79</v>
      </c>
      <c r="H55" s="16" t="s">
        <v>18</v>
      </c>
      <c r="I55" s="17">
        <v>2.0</v>
      </c>
      <c r="J55" s="15">
        <f t="shared" si="7"/>
        <v>486.76</v>
      </c>
      <c r="K55" s="15">
        <v>80.0</v>
      </c>
      <c r="L55" s="15">
        <f t="shared" si="8"/>
        <v>973.52</v>
      </c>
      <c r="M55" s="13" t="s">
        <v>127</v>
      </c>
    </row>
    <row r="56">
      <c r="A56" s="18" t="s">
        <v>128</v>
      </c>
      <c r="B56" s="18" t="s">
        <v>60</v>
      </c>
      <c r="C56" s="18" t="s">
        <v>15</v>
      </c>
      <c r="D56" s="13" t="s">
        <v>61</v>
      </c>
      <c r="E56" s="14" t="s">
        <v>17</v>
      </c>
      <c r="F56" s="14">
        <v>21.0</v>
      </c>
      <c r="G56" s="15">
        <v>0.0</v>
      </c>
      <c r="H56" s="16" t="s">
        <v>18</v>
      </c>
      <c r="I56" s="17">
        <v>1.0</v>
      </c>
      <c r="J56" s="15">
        <f t="shared" si="7"/>
        <v>0</v>
      </c>
      <c r="K56" s="15">
        <v>80.0</v>
      </c>
      <c r="L56" s="15">
        <f t="shared" si="8"/>
        <v>0</v>
      </c>
      <c r="M56" s="13" t="s">
        <v>61</v>
      </c>
    </row>
    <row r="57">
      <c r="A57" s="18" t="s">
        <v>129</v>
      </c>
      <c r="B57" s="18" t="s">
        <v>63</v>
      </c>
      <c r="C57" s="18" t="s">
        <v>15</v>
      </c>
      <c r="D57" s="13" t="s">
        <v>64</v>
      </c>
      <c r="E57" s="14" t="s">
        <v>17</v>
      </c>
      <c r="F57" s="14">
        <v>3.0</v>
      </c>
      <c r="G57" s="15">
        <v>0.0</v>
      </c>
      <c r="H57" s="16" t="s">
        <v>18</v>
      </c>
      <c r="I57" s="17">
        <v>1.0</v>
      </c>
      <c r="J57" s="15">
        <f t="shared" si="7"/>
        <v>0</v>
      </c>
      <c r="K57" s="15">
        <v>80.0</v>
      </c>
      <c r="L57" s="15">
        <f t="shared" si="8"/>
        <v>0</v>
      </c>
      <c r="M57" s="13" t="s">
        <v>64</v>
      </c>
    </row>
    <row r="58">
      <c r="A58" s="18" t="s">
        <v>130</v>
      </c>
      <c r="B58" s="20" t="s">
        <v>131</v>
      </c>
      <c r="C58" s="20" t="s">
        <v>35</v>
      </c>
      <c r="D58" s="21" t="s">
        <v>132</v>
      </c>
      <c r="E58" s="22" t="s">
        <v>17</v>
      </c>
      <c r="F58" s="22">
        <v>3.0</v>
      </c>
      <c r="G58" s="23">
        <v>25869.6</v>
      </c>
      <c r="H58" s="24" t="s">
        <v>18</v>
      </c>
      <c r="I58" s="25">
        <v>1.0</v>
      </c>
      <c r="J58" s="23">
        <f>ROUND((ROUND(431.16-((431.16*K58)/100),2) * (60)),2)</f>
        <v>5173.8</v>
      </c>
      <c r="K58" s="23">
        <v>80.0</v>
      </c>
      <c r="L58" s="23">
        <f>ROUND((ROUND(431.16-((431.16*K58)/100),2) * I58 * (60)),2)</f>
        <v>5173.8</v>
      </c>
      <c r="M58" s="21" t="s">
        <v>132</v>
      </c>
    </row>
    <row r="59">
      <c r="A59" s="26" t="s">
        <v>18</v>
      </c>
      <c r="B59" s="27" t="s">
        <v>37</v>
      </c>
      <c r="C59" s="27"/>
      <c r="D59" s="27"/>
      <c r="E59" s="27"/>
      <c r="F59" s="27"/>
      <c r="G59" s="27"/>
      <c r="H59" s="27"/>
      <c r="I59" s="27"/>
      <c r="J59" s="27"/>
      <c r="K59" s="27"/>
      <c r="L59" s="28"/>
      <c r="M59" s="27"/>
    </row>
    <row r="60">
      <c r="A60" s="18" t="s">
        <v>133</v>
      </c>
      <c r="B60" s="29" t="s">
        <v>134</v>
      </c>
      <c r="C60" s="29" t="s">
        <v>35</v>
      </c>
      <c r="D60" s="30" t="s">
        <v>135</v>
      </c>
      <c r="E60" s="31" t="s">
        <v>17</v>
      </c>
      <c r="F60" s="31">
        <v>3.0</v>
      </c>
      <c r="G60" s="32">
        <v>0.0</v>
      </c>
      <c r="H60" s="33" t="s">
        <v>18</v>
      </c>
      <c r="I60" s="34">
        <v>1.0</v>
      </c>
      <c r="J60" s="32">
        <f>ROUND((ROUND(0-((0*K60)/100),2) * (60)),2)</f>
        <v>0</v>
      </c>
      <c r="K60" s="32">
        <v>80.0</v>
      </c>
      <c r="L60" s="32">
        <f>ROUND((ROUND(0-((0*K60)/100),2) * I60 * (60)),2)</f>
        <v>0</v>
      </c>
      <c r="M60" s="30" t="s">
        <v>135</v>
      </c>
    </row>
    <row r="61">
      <c r="A61" s="26" t="s">
        <v>18</v>
      </c>
      <c r="B61" s="27" t="s">
        <v>37</v>
      </c>
      <c r="C61" s="27"/>
      <c r="D61" s="27"/>
      <c r="E61" s="27"/>
      <c r="F61" s="27"/>
      <c r="G61" s="27"/>
      <c r="H61" s="27"/>
      <c r="I61" s="27"/>
      <c r="J61" s="27"/>
      <c r="K61" s="27"/>
      <c r="L61" s="28"/>
      <c r="M61" s="27"/>
    </row>
    <row r="62">
      <c r="A62" s="18" t="s">
        <v>136</v>
      </c>
      <c r="B62" s="29" t="s">
        <v>42</v>
      </c>
      <c r="C62" s="29" t="s">
        <v>15</v>
      </c>
      <c r="D62" s="30" t="s">
        <v>43</v>
      </c>
      <c r="E62" s="31" t="s">
        <v>17</v>
      </c>
      <c r="F62" s="31">
        <v>3.0</v>
      </c>
      <c r="G62" s="32">
        <v>0.0</v>
      </c>
      <c r="H62" s="33" t="s">
        <v>18</v>
      </c>
      <c r="I62" s="34">
        <v>1.0</v>
      </c>
      <c r="J62" s="32">
        <f>ROUND((ROUND(0-((0*K62)/100),2) * (60)),2)</f>
        <v>0</v>
      </c>
      <c r="K62" s="32">
        <v>80.0</v>
      </c>
      <c r="L62" s="32">
        <f>ROUND((ROUND(0-((0*K62)/100),2) * I62 * (60)),2)</f>
        <v>0</v>
      </c>
      <c r="M62" s="30" t="s">
        <v>43</v>
      </c>
    </row>
    <row r="63">
      <c r="A63" s="26" t="s">
        <v>18</v>
      </c>
      <c r="B63" s="27" t="s">
        <v>37</v>
      </c>
      <c r="C63" s="27"/>
      <c r="D63" s="27"/>
      <c r="E63" s="27"/>
      <c r="F63" s="27"/>
      <c r="G63" s="27"/>
      <c r="H63" s="27"/>
      <c r="I63" s="27"/>
      <c r="J63" s="27"/>
      <c r="K63" s="27"/>
      <c r="L63" s="28"/>
      <c r="M63" s="27"/>
    </row>
    <row r="64">
      <c r="A64" s="18" t="s">
        <v>137</v>
      </c>
      <c r="B64" s="29" t="s">
        <v>66</v>
      </c>
      <c r="C64" s="29" t="s">
        <v>15</v>
      </c>
      <c r="D64" s="30" t="s">
        <v>64</v>
      </c>
      <c r="E64" s="31" t="s">
        <v>17</v>
      </c>
      <c r="F64" s="31">
        <v>3.0</v>
      </c>
      <c r="G64" s="32">
        <v>0.0</v>
      </c>
      <c r="H64" s="33" t="s">
        <v>18</v>
      </c>
      <c r="I64" s="34">
        <v>1.0</v>
      </c>
      <c r="J64" s="32">
        <f>ROUND((ROUND(0-((0*K64)/100),2) * (60)),2)</f>
        <v>0</v>
      </c>
      <c r="K64" s="32">
        <v>80.0</v>
      </c>
      <c r="L64" s="32">
        <f>ROUND((ROUND(0-((0*K64)/100),2) * I64 * (60)),2)</f>
        <v>0</v>
      </c>
      <c r="M64" s="30" t="s">
        <v>64</v>
      </c>
    </row>
    <row r="65">
      <c r="A65" s="26" t="s">
        <v>18</v>
      </c>
      <c r="B65" s="27" t="s">
        <v>37</v>
      </c>
      <c r="C65" s="27"/>
      <c r="D65" s="27"/>
      <c r="E65" s="27"/>
      <c r="F65" s="27"/>
      <c r="G65" s="27"/>
      <c r="H65" s="27"/>
      <c r="I65" s="27"/>
      <c r="J65" s="27"/>
      <c r="K65" s="27"/>
      <c r="L65" s="28"/>
      <c r="M65" s="27"/>
    </row>
    <row r="66">
      <c r="A66" s="11" t="s">
        <v>138</v>
      </c>
      <c r="B66" s="45" t="s">
        <v>139</v>
      </c>
      <c r="C66" s="36" t="s">
        <v>15</v>
      </c>
      <c r="D66" s="36" t="s">
        <v>127</v>
      </c>
      <c r="E66" s="37" t="s">
        <v>17</v>
      </c>
      <c r="F66" s="37">
        <v>17.0</v>
      </c>
      <c r="G66" s="38">
        <v>2433.79</v>
      </c>
      <c r="H66" s="39" t="s">
        <v>18</v>
      </c>
      <c r="I66" s="40">
        <v>36.0</v>
      </c>
      <c r="J66" s="38">
        <f t="shared" ref="J66:J69" si="9">ROUND(G66-((G66*K66)/100),2)</f>
        <v>292.05</v>
      </c>
      <c r="K66" s="38">
        <v>88.0</v>
      </c>
      <c r="L66" s="38">
        <f t="shared" ref="L66:L69" si="10">ROUND((I66 * J66),2)</f>
        <v>10513.8</v>
      </c>
      <c r="M66" s="36" t="s">
        <v>127</v>
      </c>
    </row>
    <row r="67">
      <c r="A67" s="11" t="s">
        <v>140</v>
      </c>
      <c r="B67" s="12" t="s">
        <v>141</v>
      </c>
      <c r="C67" s="13" t="s">
        <v>15</v>
      </c>
      <c r="D67" s="13" t="s">
        <v>142</v>
      </c>
      <c r="E67" s="14" t="s">
        <v>17</v>
      </c>
      <c r="F67" s="14">
        <v>17.0</v>
      </c>
      <c r="G67" s="15">
        <v>1554.72</v>
      </c>
      <c r="H67" s="16" t="s">
        <v>18</v>
      </c>
      <c r="I67" s="17">
        <v>18.0</v>
      </c>
      <c r="J67" s="15">
        <f t="shared" si="9"/>
        <v>217.66</v>
      </c>
      <c r="K67" s="15">
        <v>86.0</v>
      </c>
      <c r="L67" s="15">
        <f t="shared" si="10"/>
        <v>3917.88</v>
      </c>
      <c r="M67" s="13" t="s">
        <v>142</v>
      </c>
    </row>
    <row r="68">
      <c r="A68" s="11" t="s">
        <v>143</v>
      </c>
      <c r="B68" s="12" t="s">
        <v>144</v>
      </c>
      <c r="C68" s="13" t="s">
        <v>15</v>
      </c>
      <c r="D68" s="13" t="s">
        <v>145</v>
      </c>
      <c r="E68" s="14" t="s">
        <v>17</v>
      </c>
      <c r="F68" s="14">
        <v>17.0</v>
      </c>
      <c r="G68" s="15">
        <v>6218.89</v>
      </c>
      <c r="H68" s="16" t="s">
        <v>18</v>
      </c>
      <c r="I68" s="17">
        <v>18.0</v>
      </c>
      <c r="J68" s="15">
        <f t="shared" si="9"/>
        <v>870.64</v>
      </c>
      <c r="K68" s="15">
        <v>86.0</v>
      </c>
      <c r="L68" s="15">
        <f t="shared" si="10"/>
        <v>15671.52</v>
      </c>
      <c r="M68" s="13" t="s">
        <v>145</v>
      </c>
    </row>
    <row r="69">
      <c r="A69" s="11" t="s">
        <v>146</v>
      </c>
      <c r="B69" s="47" t="s">
        <v>147</v>
      </c>
      <c r="C69" s="21" t="s">
        <v>15</v>
      </c>
      <c r="D69" s="21" t="s">
        <v>148</v>
      </c>
      <c r="E69" s="22" t="s">
        <v>17</v>
      </c>
      <c r="F69" s="22">
        <v>17.0</v>
      </c>
      <c r="G69" s="23">
        <v>3109.44</v>
      </c>
      <c r="H69" s="24" t="s">
        <v>18</v>
      </c>
      <c r="I69" s="25">
        <v>36.0</v>
      </c>
      <c r="J69" s="23">
        <f t="shared" si="9"/>
        <v>435.32</v>
      </c>
      <c r="K69" s="23">
        <v>86.0</v>
      </c>
      <c r="L69" s="15">
        <f t="shared" si="10"/>
        <v>15671.52</v>
      </c>
      <c r="M69" s="21" t="s">
        <v>148</v>
      </c>
    </row>
    <row r="70">
      <c r="A70" s="26" t="s">
        <v>18</v>
      </c>
      <c r="B70" s="27" t="s">
        <v>149</v>
      </c>
      <c r="C70" s="27"/>
      <c r="D70" s="27"/>
      <c r="E70" s="27"/>
      <c r="F70" s="27"/>
      <c r="G70" s="27"/>
      <c r="H70" s="27"/>
      <c r="I70" s="27"/>
      <c r="J70" s="27"/>
      <c r="K70" s="27"/>
      <c r="L70" s="46" t="s">
        <v>18</v>
      </c>
      <c r="M70" s="27"/>
    </row>
    <row r="71">
      <c r="A71" s="11" t="s">
        <v>150</v>
      </c>
      <c r="B71" s="48" t="s">
        <v>151</v>
      </c>
      <c r="C71" s="30" t="s">
        <v>15</v>
      </c>
      <c r="D71" s="30" t="s">
        <v>152</v>
      </c>
      <c r="E71" s="31" t="s">
        <v>17</v>
      </c>
      <c r="F71" s="31">
        <v>17.0</v>
      </c>
      <c r="G71" s="32">
        <v>5182.41</v>
      </c>
      <c r="H71" s="33" t="s">
        <v>18</v>
      </c>
      <c r="I71" s="34">
        <v>40.0</v>
      </c>
      <c r="J71" s="32">
        <f>ROUND(G71-((G71*K71)/100),2)</f>
        <v>725.54</v>
      </c>
      <c r="K71" s="32">
        <v>86.0</v>
      </c>
      <c r="L71" s="15">
        <f>ROUND((I71 * J71),2)</f>
        <v>29021.6</v>
      </c>
      <c r="M71" s="30" t="s">
        <v>152</v>
      </c>
    </row>
    <row r="72">
      <c r="A72" s="26" t="s">
        <v>18</v>
      </c>
      <c r="B72" s="27" t="s">
        <v>153</v>
      </c>
      <c r="C72" s="27"/>
      <c r="D72" s="27"/>
      <c r="E72" s="27"/>
      <c r="F72" s="27"/>
      <c r="G72" s="27"/>
      <c r="H72" s="27"/>
      <c r="I72" s="27"/>
      <c r="J72" s="27"/>
      <c r="K72" s="27"/>
      <c r="L72" s="46" t="s">
        <v>18</v>
      </c>
      <c r="M72" s="27"/>
    </row>
    <row r="73">
      <c r="A73" s="11" t="s">
        <v>154</v>
      </c>
      <c r="B73" s="45" t="s">
        <v>155</v>
      </c>
      <c r="C73" s="36" t="s">
        <v>15</v>
      </c>
      <c r="D73" s="36" t="s">
        <v>156</v>
      </c>
      <c r="E73" s="37" t="s">
        <v>17</v>
      </c>
      <c r="F73" s="37">
        <v>17.0</v>
      </c>
      <c r="G73" s="38">
        <v>1579.82</v>
      </c>
      <c r="H73" s="39" t="s">
        <v>18</v>
      </c>
      <c r="I73" s="40">
        <v>20.0</v>
      </c>
      <c r="J73" s="38">
        <f>ROUND(G73-((G73*K73)/100),2)</f>
        <v>157.98</v>
      </c>
      <c r="K73" s="38">
        <v>90.0</v>
      </c>
      <c r="L73" s="15">
        <f>ROUND((I73 * J73),2)</f>
        <v>3159.6</v>
      </c>
      <c r="M73" s="36" t="s">
        <v>156</v>
      </c>
    </row>
  </sheetData>
  <mergeCells count="1">
    <mergeCell ref="A2:C2"/>
  </mergeCells>
  <drawing r:id="rId1"/>
</worksheet>
</file>