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e Estimate" sheetId="1" r:id="rId4"/>
  </sheets>
  <definedNames/>
  <calcPr/>
  <extLst>
    <ext uri="GoogleSheetsCustomDataVersion2">
      <go:sheetsCustomData xmlns:go="http://customooxmlschemas.google.com/" r:id="rId5" roundtripDataChecksum="xrFQzgD1DC3Sh4BZsjALGYJgPixdv6y6KydRqdYAmv4="/>
    </ext>
  </extLst>
</workbook>
</file>

<file path=xl/sharedStrings.xml><?xml version="1.0" encoding="utf-8"?>
<sst xmlns="http://schemas.openxmlformats.org/spreadsheetml/2006/main" count="274" uniqueCount="142">
  <si>
    <t>Price Estimate</t>
  </si>
  <si>
    <t>Eli Banay</t>
  </si>
  <si>
    <r>
      <rPr>
        <rFont val="Calibri"/>
        <b val="0"/>
        <color rgb="FF000000"/>
        <sz val="9.0"/>
      </rPr>
      <t>Cisco Systems, Inc.</t>
    </r>
  </si>
  <si>
    <t>Cisco Systems, Inc.</t>
  </si>
  <si>
    <t>32 HaMelacha St., (HaSharon Bldg),P.O.Box 8735, I.Z.Sapir</t>
  </si>
  <si>
    <t>32 HaMelacha Street.,Sapir Industrial Zone, Netanya, Israel.</t>
  </si>
  <si>
    <t>SOUTH NETANYA,HAMERKAZ-</t>
  </si>
  <si>
    <t>SOUTH NETANYA, M-4250567</t>
  </si>
  <si>
    <t>ISRAEL</t>
  </si>
  <si>
    <t>Ph no:+972 9 864 6097</t>
  </si>
  <si>
    <t>Ph no:+972 9-864-6097</t>
  </si>
  <si>
    <t/>
  </si>
  <si>
    <t>Price Estimate for planning and information purposes only and is not a binding offer from Cisco.</t>
  </si>
  <si>
    <r>
      <rPr>
        <rFont val="Calibri"/>
        <b/>
        <color rgb="FF000000"/>
        <sz val="9.0"/>
      </rPr>
      <t>Date:</t>
    </r>
    <r>
      <rPr>
        <rFont val="Calibri"/>
        <b val="0"/>
        <color rgb="FF000000"/>
        <sz val="9.0"/>
      </rPr>
      <t xml:space="preserve"> 06-Jan-2026</t>
    </r>
  </si>
  <si>
    <t>Estimate ID:</t>
  </si>
  <si>
    <t>IZ165204430WZ</t>
  </si>
  <si>
    <t>Deal ID:</t>
  </si>
  <si>
    <t>NA</t>
  </si>
  <si>
    <t>Price List:</t>
  </si>
  <si>
    <t>Global Price List EMEA Availability (USD)</t>
  </si>
  <si>
    <t>All prices are shown in USD</t>
  </si>
  <si>
    <t>Line Number</t>
  </si>
  <si>
    <t>Part Number</t>
  </si>
  <si>
    <t>Smart Account Mandatory</t>
  </si>
  <si>
    <t>Description</t>
  </si>
  <si>
    <t>Service Duration (Months)</t>
  </si>
  <si>
    <t>Estimated Lead Time (Days)</t>
  </si>
  <si>
    <t>Unit List Price</t>
  </si>
  <si>
    <t>Pricing Term</t>
  </si>
  <si>
    <t>Qty</t>
  </si>
  <si>
    <t>Unit Net Price</t>
  </si>
  <si>
    <t>Disc(%)</t>
  </si>
  <si>
    <t>Extended Net Price</t>
  </si>
  <si>
    <t>Original Unit List Price</t>
  </si>
  <si>
    <t>Bundle Discount</t>
  </si>
  <si>
    <t>Group Name: 3.55PB, 18x EBOX244 - Servers Only</t>
  </si>
  <si>
    <t>Subtotal=</t>
  </si>
  <si>
    <t>1.0</t>
  </si>
  <si>
    <t>VAST-DATA-MLB</t>
  </si>
  <si>
    <t>-</t>
  </si>
  <si>
    <t>VAST Software and Hardware MLB</t>
  </si>
  <si>
    <t>---</t>
  </si>
  <si>
    <t>N/A</t>
  </si>
  <si>
    <t>1.1</t>
  </si>
  <si>
    <t>VAST-DATA-SPLUS</t>
  </si>
  <si>
    <t>SolutionsPlus: VAST DATA Software and Services</t>
  </si>
  <si>
    <t>Initial Term - 60.00 Months   |   Auto Renewal Term - 0 Months   |   Billing Model - Prepaid Term   |   Requested Start Date - 01-Apr-2026   |   Requested End Date - 31-Mar-2031</t>
  </si>
  <si>
    <t>1.1.1</t>
  </si>
  <si>
    <t>SAAS-OTHER</t>
  </si>
  <si>
    <t>Other Use Case</t>
  </si>
  <si>
    <t>1.1.2</t>
  </si>
  <si>
    <t>VAST-SW-100TB</t>
  </si>
  <si>
    <t>VAST Data software subscription (100TB) </t>
  </si>
  <si>
    <t>1.1.3</t>
  </si>
  <si>
    <t>VAST-SW-1CPU-CORE</t>
  </si>
  <si>
    <t>VAST 1xCPU CORE </t>
  </si>
  <si>
    <t>1.1.4</t>
  </si>
  <si>
    <t>VAST-PS-COPILOT</t>
  </si>
  <si>
    <t>Co-Pilot: Monitoring,Upgrades,Expansions,System Management</t>
  </si>
  <si>
    <t>1.1.5</t>
  </si>
  <si>
    <t>VAST-PS</t>
  </si>
  <si>
    <t>Installation Services for VAST SW (Supports up to 12 Eboxes)</t>
  </si>
  <si>
    <t>1.2</t>
  </si>
  <si>
    <t>DC-MGT-SAAS</t>
  </si>
  <si>
    <t>Cisco Intersight SaaS</t>
  </si>
  <si>
    <t>Initial Term - 60.00 Months   |   Auto Renewal Term - 12 Months   |   Billing Model - Prepaid Term   |   Requested Start Date - 01-Apr-2026   |   Requested End Date - 31-Mar-2031</t>
  </si>
  <si>
    <t>1.2.1</t>
  </si>
  <si>
    <t>1.2.2</t>
  </si>
  <si>
    <t>DC-MGT-IS-PVAPP-AD</t>
  </si>
  <si>
    <t>Yes</t>
  </si>
  <si>
    <t>Infrastructure Services PVA - Advantage</t>
  </si>
  <si>
    <t>1.2.3</t>
  </si>
  <si>
    <t>SVS-DCM-SUPT-BAS</t>
  </si>
  <si>
    <t>Cisco Support Standard for DCM</t>
  </si>
  <si>
    <t>1.2.4</t>
  </si>
  <si>
    <t>DC-MGT-UCSC-1S</t>
  </si>
  <si>
    <t>UCS Central Per Server - 1 Server License</t>
  </si>
  <si>
    <t>1.2.5</t>
  </si>
  <si>
    <t>DC-MGT-ADOPT-BAS</t>
  </si>
  <si>
    <t>Intersight - Virtual adopt session http://cs.co/requestCSS</t>
  </si>
  <si>
    <t>1.3</t>
  </si>
  <si>
    <t>UCSC-C225M8N-EBOX</t>
  </si>
  <si>
    <t>UCS C225 M8 1U Rack Server for VAST EBOX</t>
  </si>
  <si>
    <t>1.3.0.1</t>
  </si>
  <si>
    <t>CON-UCW5-UCSC2M8X</t>
  </si>
  <si>
    <t>UCS HW 8X5XNBDOS UCS C225 M8 1U Rack Server for VAST with</t>
  </si>
  <si>
    <t>1.3.1</t>
  </si>
  <si>
    <t>ISM-MANAGED</t>
  </si>
  <si>
    <t>Deployment mode for C Series Servers in Standalone mode</t>
  </si>
  <si>
    <t>1.3.2</t>
  </si>
  <si>
    <t>UCS-CPU-A9454P</t>
  </si>
  <si>
    <t>AMD 9454P 2.75GHz 290W 48C/256MB Cache DDR5 4800MT/s</t>
  </si>
  <si>
    <t>1.3.3</t>
  </si>
  <si>
    <t>UCS-MRX32G1RE3</t>
  </si>
  <si>
    <t>32GB DDR5-5600 RDIMM 1Rx4 (16Gb)</t>
  </si>
  <si>
    <t>1.3.4</t>
  </si>
  <si>
    <t>UCSC-RIS1C-225M8</t>
  </si>
  <si>
    <t>C225 M8 1U Riser 1C PCIe Gen5 x16 FH</t>
  </si>
  <si>
    <t>1.3.5</t>
  </si>
  <si>
    <t>UCSC-RIS3C-225M8</t>
  </si>
  <si>
    <t>C225 M81U Riser 3C PCIe Gen5 x16 FH</t>
  </si>
  <si>
    <t>1.3.6</t>
  </si>
  <si>
    <t>UCSC-O-ID10GC-D</t>
  </si>
  <si>
    <t>Intel X710T2LOCPV3G1L 2x10GbE RJ45 OCP3.0 NIC</t>
  </si>
  <si>
    <t>1.3.7</t>
  </si>
  <si>
    <t>UCSC-P-N7D200GF</t>
  </si>
  <si>
    <t>MCX755106AS-HEAT:CX-7 2x200GbE QSFP112 PCIe Gen5x16, VPI NIC</t>
  </si>
  <si>
    <t>1.3.8</t>
  </si>
  <si>
    <t>1.3.9</t>
  </si>
  <si>
    <t>UCS-M2-960G-D</t>
  </si>
  <si>
    <t>960GB M.2 SATA Micron G2 SSD</t>
  </si>
  <si>
    <t>1.3.10</t>
  </si>
  <si>
    <t>UCS-M2-HWRAID-D</t>
  </si>
  <si>
    <t>Cisco Boot optimized M.2 Raid controller</t>
  </si>
  <si>
    <t>1.3.11</t>
  </si>
  <si>
    <t>UCSC-PSU1-1200W-D</t>
  </si>
  <si>
    <t>1200w AC Titanium Power Supply for C-series Rack Servers</t>
  </si>
  <si>
    <t>1.3.12</t>
  </si>
  <si>
    <t>CAB-C13-C14-AC</t>
  </si>
  <si>
    <t>Power cord, C13 to C14 (recessed receptacle), 10A</t>
  </si>
  <si>
    <t>1.3.13</t>
  </si>
  <si>
    <t>CIMC-LATEST-D</t>
  </si>
  <si>
    <t>IMC SW (Recommended) latest release for C-Series Servers.</t>
  </si>
  <si>
    <t>1.3.14</t>
  </si>
  <si>
    <t>UCSC-RAIL-D</t>
  </si>
  <si>
    <t>Ball Bearing Rail Kit for C220 &amp; C240 M7/M8 rack servers</t>
  </si>
  <si>
    <t>1.3.15</t>
  </si>
  <si>
    <t>UCS-TPM2-002D-D</t>
  </si>
  <si>
    <t>TPM 2.0 FIPS 140-2 MSW2022 compliant AMD M8 servers</t>
  </si>
  <si>
    <t>1.3.16</t>
  </si>
  <si>
    <t>UCSC-HSLP-C225M8</t>
  </si>
  <si>
    <t>UCS C225 M8 Heatsink</t>
  </si>
  <si>
    <t>1.3.17</t>
  </si>
  <si>
    <t>UCSC-OCP3-KIT-D</t>
  </si>
  <si>
    <t>C2XX OCP 3.0 Interposer W/Mech Assy</t>
  </si>
  <si>
    <t>1.3.18</t>
  </si>
  <si>
    <t>UCS-NVB30T7M3L</t>
  </si>
  <si>
    <t>30.7TB 2.5in U.2 15mm Micron6550 HgPerf EcoEnd G4/5 &lt;1X NVMe</t>
  </si>
  <si>
    <t>1.3.19</t>
  </si>
  <si>
    <t>UCS-NVB1T9M1H</t>
  </si>
  <si>
    <t>1.92TB 2.5in U.3 15mm Micron XTR Hg Perf Ext End 60X NVMe</t>
  </si>
  <si>
    <t>"This Price Estimate does not constitute an offer by CISCO to sell products, but is instead an invitation to issue a purchase order to CISCO until the valid date specified in this price estimate. Such a purchase order will be subject to Cisco's standard procedures, terms and conditions for the acceptance of purchase orders. This order may be subject to indirect tax (VAT, GST, sales tax or other indirect taxes), duty and freight charges even if not noted on this estimate."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</si>
</sst>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numFmt numFmtId="165" formatCode="#,##0.0000"/>
  </numFmts>
  <fonts count="8">
    <font>
      <sz val="11.0"/>
      <color rgb="FF000000"/>
      <name val="Aptos Narrow"/>
      <scheme val="minor"/>
    </font>
    <font>
      <b/>
      <sz val="16.0"/>
      <color rgb="FF000000"/>
      <name val="Helvetica Neue"/>
    </font>
    <font>
      <sz val="9.0"/>
      <color rgb="FF000000"/>
      <name val="Helvetica Neue"/>
    </font>
    <font>
      <b/>
      <sz val="9.0"/>
      <color rgb="FF000000"/>
      <name val="Helvetica Neue"/>
    </font>
    <font>
      <sz val="11.0"/>
      <color rgb="FF000000"/>
      <name val="Aptos Narrow"/>
    </font>
    <font>
      <b/>
      <sz val="11.0"/>
      <color rgb="FFFF0000"/>
      <name val="Helvetica Neue"/>
    </font>
    <font/>
    <font>
      <sz val="7.0"/>
      <color rgb="FF000000"/>
      <name val="Helvetica Neue"/>
    </font>
  </fonts>
  <fills count="4">
    <fill>
      <patternFill patternType="none"/>
    </fill>
    <fill>
      <patternFill patternType="lightGray"/>
    </fill>
    <fill>
      <patternFill patternType="solid">
        <fgColor rgb="FF969696"/>
        <bgColor rgb="FF969696"/>
      </patternFill>
    </fill>
    <fill>
      <patternFill patternType="solid">
        <fgColor rgb="FFC0C0C0"/>
        <bgColor rgb="FFC0C0C0"/>
      </patternFill>
    </fill>
  </fills>
  <borders count="11">
    <border/>
    <border>
      <bottom style="medium">
        <color rgb="FF000000"/>
      </bottom>
    </border>
    <border>
      <left style="thin">
        <color rgb="FFC0C0C0"/>
      </left>
      <right style="thin">
        <color rgb="FFC0C0C0"/>
      </right>
      <top style="thin">
        <color rgb="FFC0C0C0"/>
      </top>
      <bottom style="thin">
        <color rgb="FFC0C0C0"/>
      </bottom>
    </border>
    <border>
      <left style="thin">
        <color rgb="FFC0C0C0"/>
      </left>
      <top style="thin">
        <color rgb="FFC0C0C0"/>
      </top>
      <bottom style="thin">
        <color rgb="FFC0C0C0"/>
      </bottom>
    </border>
    <border>
      <top style="thin">
        <color rgb="FFC0C0C0"/>
      </top>
      <bottom style="thin">
        <color rgb="FFC0C0C0"/>
      </bottom>
    </border>
    <border>
      <right style="thin">
        <color rgb="FFC0C0C0"/>
      </right>
      <top style="thin">
        <color rgb="FFC0C0C0"/>
      </top>
      <bottom style="thin">
        <color rgb="FFC0C0C0"/>
      </bottom>
    </border>
    <border>
      <left style="thin">
        <color rgb="FFC0C0C0"/>
      </left>
      <right style="thin">
        <color rgb="FFC0C0C0"/>
      </right>
      <top style="thin">
        <color rgb="FFC0C0C0"/>
      </top>
    </border>
    <border>
      <left style="thin">
        <color rgb="FFC0C0C0"/>
      </left>
      <top style="thin">
        <color rgb="FF000000"/>
      </top>
      <bottom style="thin">
        <color rgb="FF000000"/>
      </bottom>
    </border>
    <border>
      <top style="thin">
        <color rgb="FF000000"/>
      </top>
      <bottom style="thin">
        <color rgb="FF000000"/>
      </bottom>
    </border>
    <border>
      <right style="thin">
        <color rgb="FFC0C0C0"/>
      </right>
      <top style="thin">
        <color rgb="FF000000"/>
      </top>
      <bottom style="thin">
        <color rgb="FF000000"/>
      </bottom>
    </border>
    <border>
      <left style="thin">
        <color rgb="FFC0C0C0"/>
      </left>
      <right style="thin">
        <color rgb="FFC0C0C0"/>
      </right>
      <bottom style="thin">
        <color rgb="FFC0C0C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left" shrinkToFit="0" vertical="center" wrapText="1"/>
    </xf>
    <xf borderId="0" fillId="0" fontId="3" numFmtId="0" xfId="0" applyAlignment="1" applyFont="1">
      <alignment horizontal="left" vertical="center"/>
    </xf>
    <xf borderId="0" fillId="0" fontId="4" numFmtId="0" xfId="0" applyFont="1"/>
    <xf borderId="1" fillId="0" fontId="4" numFmtId="0" xfId="0" applyBorder="1" applyFont="1"/>
    <xf borderId="0" fillId="0" fontId="5" numFmtId="0" xfId="0" applyAlignment="1" applyFont="1">
      <alignment horizontal="center" shrinkToFit="0" vertical="center" wrapText="1"/>
    </xf>
    <xf borderId="0" fillId="0" fontId="2" numFmtId="0" xfId="0" applyAlignment="1" applyFont="1">
      <alignment horizontal="right" vertical="center"/>
    </xf>
    <xf borderId="2" fillId="2" fontId="3" numFmtId="0" xfId="0" applyAlignment="1" applyBorder="1" applyFill="1" applyFont="1">
      <alignment horizontal="left" shrinkToFit="0" vertical="center" wrapText="1"/>
    </xf>
    <xf borderId="2" fillId="2" fontId="3" numFmtId="0" xfId="0" applyAlignment="1" applyBorder="1" applyFont="1">
      <alignment horizontal="center" shrinkToFit="0" vertical="center" wrapText="1"/>
    </xf>
    <xf borderId="2" fillId="2" fontId="3" numFmtId="0" xfId="0" applyAlignment="1" applyBorder="1" applyFont="1">
      <alignment horizontal="right" shrinkToFit="0" vertical="center" wrapText="1"/>
    </xf>
    <xf borderId="3" fillId="3" fontId="3" numFmtId="0" xfId="0" applyAlignment="1" applyBorder="1" applyFill="1" applyFont="1">
      <alignment horizontal="left" shrinkToFit="0" vertical="center" wrapText="1"/>
    </xf>
    <xf borderId="4" fillId="0" fontId="6" numFmtId="0" xfId="0" applyBorder="1" applyFont="1"/>
    <xf borderId="5" fillId="0" fontId="6" numFmtId="0" xfId="0" applyBorder="1" applyFont="1"/>
    <xf borderId="3" fillId="3" fontId="3" numFmtId="0" xfId="0" applyAlignment="1" applyBorder="1" applyFont="1">
      <alignment horizontal="right" shrinkToFit="0" vertical="center" wrapText="1"/>
    </xf>
    <xf borderId="4" fillId="3" fontId="3" numFmtId="0" xfId="0" applyAlignment="1" applyBorder="1" applyFont="1">
      <alignment horizontal="right" shrinkToFit="0" vertical="center" wrapText="1"/>
    </xf>
    <xf borderId="5" fillId="3" fontId="3" numFmtId="0" xfId="0" applyAlignment="1" applyBorder="1" applyFont="1">
      <alignment horizontal="right" shrinkToFit="0" vertical="center" wrapText="1"/>
    </xf>
    <xf borderId="2" fillId="3" fontId="3" numFmtId="4" xfId="0" applyAlignment="1" applyBorder="1" applyFont="1" applyNumberFormat="1">
      <alignment horizontal="right" vertical="center"/>
    </xf>
    <xf borderId="2" fillId="0" fontId="3" numFmtId="164" xfId="0" applyAlignment="1" applyBorder="1" applyFont="1" applyNumberFormat="1">
      <alignment horizontal="left" shrinkToFit="0" vertical="center" wrapText="1"/>
    </xf>
    <xf borderId="2" fillId="0" fontId="3" numFmtId="0" xfId="0" applyAlignment="1" applyBorder="1" applyFont="1">
      <alignment horizontal="left" shrinkToFit="0" vertical="top" wrapText="1"/>
    </xf>
    <xf borderId="2" fillId="0" fontId="2" numFmtId="0" xfId="0" applyAlignment="1" applyBorder="1" applyFont="1">
      <alignment horizontal="left" shrinkToFit="0" vertical="top" wrapText="1"/>
    </xf>
    <xf borderId="2" fillId="0" fontId="2" numFmtId="0" xfId="0" applyAlignment="1" applyBorder="1" applyFont="1">
      <alignment horizontal="center" shrinkToFit="0" vertical="center" wrapText="1"/>
    </xf>
    <xf borderId="2" fillId="0" fontId="2" numFmtId="4" xfId="0" applyAlignment="1" applyBorder="1" applyFont="1" applyNumberFormat="1">
      <alignment horizontal="right" shrinkToFit="0" vertical="center" wrapText="1"/>
    </xf>
    <xf borderId="2" fillId="0" fontId="2" numFmtId="1" xfId="0" applyAlignment="1" applyBorder="1" applyFont="1" applyNumberFormat="1">
      <alignment horizontal="center" shrinkToFit="0" vertical="center" wrapText="1"/>
    </xf>
    <xf borderId="2" fillId="0" fontId="2" numFmtId="0" xfId="0" applyAlignment="1" applyBorder="1" applyFont="1">
      <alignment horizontal="left" shrinkToFit="0" vertical="center" wrapText="1"/>
    </xf>
    <xf borderId="6" fillId="0" fontId="2" numFmtId="0" xfId="0" applyAlignment="1" applyBorder="1" applyFont="1">
      <alignment horizontal="left" shrinkToFit="0" vertical="center" wrapText="1"/>
    </xf>
    <xf borderId="6" fillId="0" fontId="2" numFmtId="0" xfId="0" applyAlignment="1" applyBorder="1" applyFont="1">
      <alignment horizontal="left" shrinkToFit="0" vertical="top" wrapText="1"/>
    </xf>
    <xf borderId="6" fillId="0" fontId="2" numFmtId="0" xfId="0" applyAlignment="1" applyBorder="1" applyFont="1">
      <alignment horizontal="center" shrinkToFit="0" vertical="center" wrapText="1"/>
    </xf>
    <xf borderId="6" fillId="0" fontId="2" numFmtId="4" xfId="0" applyAlignment="1" applyBorder="1" applyFont="1" applyNumberFormat="1">
      <alignment horizontal="right" shrinkToFit="0" vertical="center" wrapText="1"/>
    </xf>
    <xf borderId="6" fillId="0" fontId="2" numFmtId="1" xfId="0" applyAlignment="1" applyBorder="1" applyFont="1" applyNumberFormat="1">
      <alignment horizontal="center" shrinkToFit="0" vertical="center" wrapText="1"/>
    </xf>
    <xf borderId="7" fillId="0" fontId="4" numFmtId="0" xfId="0" applyAlignment="1" applyBorder="1" applyFont="1">
      <alignment horizontal="left" shrinkToFit="0" vertical="center" wrapText="1"/>
    </xf>
    <xf borderId="8" fillId="0" fontId="3" numFmtId="0" xfId="0" applyAlignment="1" applyBorder="1" applyFont="1">
      <alignment horizontal="left" shrinkToFit="0" vertical="center" wrapText="1"/>
    </xf>
    <xf borderId="9" fillId="0" fontId="3" numFmtId="0" xfId="0" applyAlignment="1" applyBorder="1" applyFont="1">
      <alignment horizontal="left" shrinkToFit="0" vertical="center" wrapText="1"/>
    </xf>
    <xf borderId="10" fillId="0" fontId="2" numFmtId="0" xfId="0" applyAlignment="1" applyBorder="1" applyFont="1">
      <alignment horizontal="left" shrinkToFit="0" vertical="center" wrapText="1"/>
    </xf>
    <xf borderId="10" fillId="0" fontId="2" numFmtId="0" xfId="0" applyAlignment="1" applyBorder="1" applyFont="1">
      <alignment horizontal="left" shrinkToFit="0" vertical="top" wrapText="1"/>
    </xf>
    <xf borderId="10" fillId="0" fontId="2" numFmtId="0" xfId="0" applyAlignment="1" applyBorder="1" applyFont="1">
      <alignment horizontal="center" shrinkToFit="0" vertical="center" wrapText="1"/>
    </xf>
    <xf borderId="10" fillId="0" fontId="2" numFmtId="165" xfId="0" applyAlignment="1" applyBorder="1" applyFont="1" applyNumberFormat="1">
      <alignment horizontal="right" shrinkToFit="0" vertical="center" wrapText="1"/>
    </xf>
    <xf borderId="10" fillId="0" fontId="2" numFmtId="1" xfId="0" applyAlignment="1" applyBorder="1" applyFont="1" applyNumberFormat="1">
      <alignment horizontal="center" shrinkToFit="0" vertical="center" wrapText="1"/>
    </xf>
    <xf borderId="10" fillId="0" fontId="2" numFmtId="4" xfId="0" applyAlignment="1" applyBorder="1" applyFont="1" applyNumberFormat="1">
      <alignment horizontal="right" shrinkToFit="0" vertical="center" wrapText="1"/>
    </xf>
    <xf borderId="2" fillId="0" fontId="2" numFmtId="4" xfId="0" applyAlignment="1" applyBorder="1" applyFont="1" applyNumberFormat="1">
      <alignment horizontal="right" readingOrder="0" shrinkToFit="0" vertical="center" wrapText="1"/>
    </xf>
    <xf borderId="2" fillId="0" fontId="2" numFmtId="165" xfId="0" applyAlignment="1" applyBorder="1" applyFont="1" applyNumberFormat="1">
      <alignment horizontal="right" shrinkToFit="0" vertical="center" wrapText="1"/>
    </xf>
    <xf borderId="0" fillId="0" fontId="7"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038225" cy="7429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3.63"/>
    <col customWidth="1" min="2" max="2" width="23.5"/>
    <col customWidth="1" min="3" max="3" width="13.63"/>
    <col customWidth="1" min="4" max="4" width="31.25"/>
    <col customWidth="1" min="5" max="5" width="16.38"/>
    <col customWidth="1" min="6" max="6" width="7.75"/>
    <col customWidth="1" min="7" max="7" width="18.38"/>
    <col customWidth="1" min="8" max="9" width="9.75"/>
    <col customWidth="1" min="10" max="10" width="13.63"/>
    <col customWidth="1" min="11" max="11" width="7.0"/>
    <col customWidth="1" min="12" max="13" width="13.63"/>
    <col customWidth="1" min="14" max="14" width="26.75"/>
    <col customWidth="1" min="15" max="26" width="14.88"/>
  </cols>
  <sheetData>
    <row r="1" ht="12.75" customHeight="1"/>
    <row r="2" ht="20.25" customHeight="1">
      <c r="A2" s="1" t="s">
        <v>0</v>
      </c>
    </row>
    <row r="3" ht="12.75" customHeight="1"/>
    <row r="4" ht="12.75" customHeight="1"/>
    <row r="5" ht="12.75" customHeight="1"/>
    <row r="6" ht="12.75" customHeight="1"/>
    <row r="7" ht="12.75" customHeight="1">
      <c r="A7" s="2" t="s">
        <v>1</v>
      </c>
      <c r="M7" s="3" t="s">
        <v>2</v>
      </c>
    </row>
    <row r="8" ht="12.75" customHeight="1">
      <c r="A8" s="2" t="s">
        <v>3</v>
      </c>
      <c r="M8" s="2" t="s">
        <v>4</v>
      </c>
    </row>
    <row r="9" ht="12.75" customHeight="1">
      <c r="A9" s="2" t="s">
        <v>5</v>
      </c>
      <c r="M9" s="2" t="s">
        <v>6</v>
      </c>
    </row>
    <row r="10" ht="12.75" customHeight="1">
      <c r="A10" s="2" t="s">
        <v>7</v>
      </c>
      <c r="M10" s="2" t="s">
        <v>8</v>
      </c>
    </row>
    <row r="11" ht="12.75" customHeight="1">
      <c r="A11" s="2" t="s">
        <v>8</v>
      </c>
      <c r="M11" s="2" t="s">
        <v>9</v>
      </c>
    </row>
    <row r="12" ht="12.75" customHeight="1">
      <c r="A12" s="2" t="s">
        <v>10</v>
      </c>
      <c r="M12" s="4"/>
    </row>
    <row r="13" ht="12.75" customHeight="1"/>
    <row r="14" ht="12.75" customHeight="1">
      <c r="A14" s="5" t="s">
        <v>11</v>
      </c>
      <c r="B14" s="5" t="s">
        <v>11</v>
      </c>
      <c r="C14" s="5" t="s">
        <v>11</v>
      </c>
      <c r="D14" s="5" t="s">
        <v>11</v>
      </c>
      <c r="E14" s="5" t="s">
        <v>11</v>
      </c>
      <c r="F14" s="5" t="s">
        <v>11</v>
      </c>
      <c r="G14" s="5" t="s">
        <v>11</v>
      </c>
      <c r="H14" s="5" t="s">
        <v>11</v>
      </c>
      <c r="I14" s="5" t="s">
        <v>11</v>
      </c>
      <c r="J14" s="5" t="s">
        <v>11</v>
      </c>
      <c r="K14" s="5" t="s">
        <v>11</v>
      </c>
      <c r="L14" s="5" t="s">
        <v>11</v>
      </c>
      <c r="M14" s="5" t="s">
        <v>11</v>
      </c>
      <c r="N14" s="5" t="s">
        <v>11</v>
      </c>
    </row>
    <row r="15" ht="12.75" customHeight="1">
      <c r="A15" s="6" t="s">
        <v>12</v>
      </c>
    </row>
    <row r="16" ht="12.75" customHeight="1"/>
    <row r="17" ht="12.75" customHeight="1">
      <c r="A17" s="3" t="s">
        <v>13</v>
      </c>
      <c r="L17" s="3" t="s">
        <v>14</v>
      </c>
      <c r="N17" s="7" t="s">
        <v>15</v>
      </c>
    </row>
    <row r="18" ht="12.75" customHeight="1">
      <c r="L18" s="3" t="s">
        <v>16</v>
      </c>
      <c r="N18" s="7" t="s">
        <v>17</v>
      </c>
    </row>
    <row r="19" ht="12.75" customHeight="1">
      <c r="L19" s="3" t="s">
        <v>18</v>
      </c>
      <c r="N19" s="7" t="s">
        <v>19</v>
      </c>
    </row>
    <row r="20" ht="12.75" customHeight="1"/>
    <row r="21" ht="12.75" customHeight="1">
      <c r="L21" s="7" t="s">
        <v>20</v>
      </c>
    </row>
    <row r="22" ht="42.0" customHeight="1">
      <c r="A22" s="8" t="s">
        <v>21</v>
      </c>
      <c r="B22" s="8" t="s">
        <v>22</v>
      </c>
      <c r="C22" s="8" t="s">
        <v>23</v>
      </c>
      <c r="D22" s="8" t="s">
        <v>24</v>
      </c>
      <c r="E22" s="9" t="s">
        <v>25</v>
      </c>
      <c r="F22" s="9" t="s">
        <v>26</v>
      </c>
      <c r="G22" s="10" t="s">
        <v>27</v>
      </c>
      <c r="H22" s="9" t="s">
        <v>28</v>
      </c>
      <c r="I22" s="9" t="s">
        <v>29</v>
      </c>
      <c r="J22" s="10" t="s">
        <v>30</v>
      </c>
      <c r="K22" s="10" t="s">
        <v>31</v>
      </c>
      <c r="L22" s="10" t="s">
        <v>32</v>
      </c>
      <c r="M22" s="10" t="s">
        <v>33</v>
      </c>
      <c r="N22" s="10" t="s">
        <v>34</v>
      </c>
    </row>
    <row r="23" ht="12.75" customHeight="1">
      <c r="A23" s="11" t="s">
        <v>35</v>
      </c>
      <c r="B23" s="12"/>
      <c r="C23" s="13"/>
      <c r="D23" s="14" t="s">
        <v>36</v>
      </c>
      <c r="E23" s="15"/>
      <c r="F23" s="15"/>
      <c r="G23" s="15"/>
      <c r="H23" s="15"/>
      <c r="I23" s="15"/>
      <c r="J23" s="15"/>
      <c r="K23" s="15"/>
      <c r="L23" s="15"/>
      <c r="M23" s="16"/>
      <c r="N23" s="17">
        <f>(L24+L25+L27+L28+L29+L30+L31+L32+L34+L35+L36+L37+L38+L39+L40+L41+L42+L43+L44+L45+L46+L47+L48+L49+L50+L51+L52+L53+L54+L55+L56+L57+L58+L59)</f>
        <v>903890</v>
      </c>
    </row>
    <row r="24" ht="12.75" customHeight="1">
      <c r="A24" s="18" t="s">
        <v>37</v>
      </c>
      <c r="B24" s="19" t="s">
        <v>38</v>
      </c>
      <c r="C24" s="20" t="s">
        <v>39</v>
      </c>
      <c r="D24" s="20" t="s">
        <v>40</v>
      </c>
      <c r="E24" s="21" t="s">
        <v>41</v>
      </c>
      <c r="F24" s="21" t="s">
        <v>42</v>
      </c>
      <c r="G24" s="22">
        <v>0.0</v>
      </c>
      <c r="H24" s="23" t="s">
        <v>11</v>
      </c>
      <c r="I24" s="23">
        <v>1.0</v>
      </c>
      <c r="J24" s="22">
        <f t="shared" ref="J24:J25" si="1">ROUND(G24-((G24*K24)/100),2)</f>
        <v>0</v>
      </c>
      <c r="K24" s="22">
        <v>89.12</v>
      </c>
      <c r="L24" s="22">
        <f t="shared" ref="L24:L25" si="2">ROUND((I24 * J24),2)</f>
        <v>0</v>
      </c>
      <c r="M24" s="22" t="s">
        <v>11</v>
      </c>
      <c r="N24" s="22" t="s">
        <v>11</v>
      </c>
    </row>
    <row r="25" ht="12.75" customHeight="1">
      <c r="A25" s="24" t="s">
        <v>43</v>
      </c>
      <c r="B25" s="25" t="s">
        <v>44</v>
      </c>
      <c r="C25" s="25" t="s">
        <v>39</v>
      </c>
      <c r="D25" s="26" t="s">
        <v>45</v>
      </c>
      <c r="E25" s="27" t="s">
        <v>41</v>
      </c>
      <c r="F25" s="27" t="s">
        <v>42</v>
      </c>
      <c r="G25" s="28">
        <v>0.0</v>
      </c>
      <c r="H25" s="29" t="s">
        <v>11</v>
      </c>
      <c r="I25" s="29">
        <v>1.0</v>
      </c>
      <c r="J25" s="28">
        <f t="shared" si="1"/>
        <v>0</v>
      </c>
      <c r="K25" s="28">
        <v>80.0</v>
      </c>
      <c r="L25" s="28">
        <f t="shared" si="2"/>
        <v>0</v>
      </c>
      <c r="M25" s="28">
        <v>0.0</v>
      </c>
      <c r="N25" s="28">
        <v>0.0</v>
      </c>
    </row>
    <row r="26" ht="12.75" customHeight="1">
      <c r="A26" s="30" t="s">
        <v>11</v>
      </c>
      <c r="B26" s="31" t="s">
        <v>46</v>
      </c>
      <c r="C26" s="31"/>
      <c r="D26" s="31"/>
      <c r="E26" s="31"/>
      <c r="F26" s="31"/>
      <c r="G26" s="31"/>
      <c r="H26" s="31"/>
      <c r="I26" s="31"/>
      <c r="J26" s="31"/>
      <c r="K26" s="31"/>
      <c r="L26" s="31"/>
      <c r="M26" s="31"/>
      <c r="N26" s="32"/>
    </row>
    <row r="27" ht="12.75" customHeight="1">
      <c r="A27" s="24" t="s">
        <v>47</v>
      </c>
      <c r="B27" s="33" t="s">
        <v>48</v>
      </c>
      <c r="C27" s="33" t="s">
        <v>39</v>
      </c>
      <c r="D27" s="34" t="s">
        <v>49</v>
      </c>
      <c r="E27" s="35" t="s">
        <v>41</v>
      </c>
      <c r="F27" s="35">
        <v>3.0</v>
      </c>
      <c r="G27" s="36">
        <v>0.0</v>
      </c>
      <c r="H27" s="37" t="s">
        <v>11</v>
      </c>
      <c r="I27" s="37">
        <v>1.0</v>
      </c>
      <c r="J27" s="36">
        <f>ROUND(G27-((G27*K27)/100),4)</f>
        <v>0</v>
      </c>
      <c r="K27" s="38">
        <v>80.0</v>
      </c>
      <c r="L27" s="38">
        <f>ROUND((I27 * J27),2)</f>
        <v>0</v>
      </c>
      <c r="M27" s="38">
        <v>0.0</v>
      </c>
      <c r="N27" s="38">
        <v>0.0</v>
      </c>
    </row>
    <row r="28" ht="12.75" customHeight="1">
      <c r="A28" s="24" t="s">
        <v>50</v>
      </c>
      <c r="B28" s="24" t="s">
        <v>51</v>
      </c>
      <c r="C28" s="24" t="s">
        <v>39</v>
      </c>
      <c r="D28" s="20" t="s">
        <v>52</v>
      </c>
      <c r="E28" s="21" t="s">
        <v>41</v>
      </c>
      <c r="F28" s="21">
        <v>3.0</v>
      </c>
      <c r="G28" s="22">
        <v>1810.9</v>
      </c>
      <c r="H28" s="23">
        <v>1.0</v>
      </c>
      <c r="I28" s="23">
        <v>36.0</v>
      </c>
      <c r="J28" s="39">
        <v>100.0</v>
      </c>
      <c r="K28" s="22">
        <v>80.0</v>
      </c>
      <c r="L28" s="22">
        <f t="shared" ref="L28:L29" si="3">ROUND(((ROUND(G28-((G28 * K28)/100),2) * I28 * 60)/1),2)</f>
        <v>782308.8</v>
      </c>
      <c r="M28" s="22">
        <v>1810.9</v>
      </c>
      <c r="N28" s="22">
        <v>0.0</v>
      </c>
    </row>
    <row r="29" ht="12.75" customHeight="1">
      <c r="A29" s="24" t="s">
        <v>53</v>
      </c>
      <c r="B29" s="24" t="s">
        <v>54</v>
      </c>
      <c r="C29" s="24" t="s">
        <v>39</v>
      </c>
      <c r="D29" s="20" t="s">
        <v>55</v>
      </c>
      <c r="E29" s="21" t="s">
        <v>41</v>
      </c>
      <c r="F29" s="21" t="s">
        <v>42</v>
      </c>
      <c r="G29" s="22">
        <v>31.2</v>
      </c>
      <c r="H29" s="23">
        <v>1.0</v>
      </c>
      <c r="I29" s="23">
        <v>126.0</v>
      </c>
      <c r="J29" s="39">
        <v>100.0</v>
      </c>
      <c r="K29" s="22">
        <v>80.0</v>
      </c>
      <c r="L29" s="22">
        <f t="shared" si="3"/>
        <v>47174.4</v>
      </c>
      <c r="M29" s="22">
        <v>31.2</v>
      </c>
      <c r="N29" s="22">
        <v>0.0</v>
      </c>
    </row>
    <row r="30" ht="12.75" customHeight="1">
      <c r="A30" s="24" t="s">
        <v>56</v>
      </c>
      <c r="B30" s="24" t="s">
        <v>57</v>
      </c>
      <c r="C30" s="24" t="s">
        <v>39</v>
      </c>
      <c r="D30" s="20" t="s">
        <v>58</v>
      </c>
      <c r="E30" s="21" t="s">
        <v>41</v>
      </c>
      <c r="F30" s="21">
        <v>3.0</v>
      </c>
      <c r="G30" s="22">
        <v>0.0</v>
      </c>
      <c r="H30" s="23" t="s">
        <v>11</v>
      </c>
      <c r="I30" s="23">
        <v>1.0</v>
      </c>
      <c r="J30" s="22">
        <f>ROUND(G30-((G30*K30)/100),2)</f>
        <v>0</v>
      </c>
      <c r="K30" s="22">
        <v>80.0</v>
      </c>
      <c r="L30" s="22">
        <f t="shared" ref="L30:L32" si="4">ROUND((I30 * J30),2)</f>
        <v>0</v>
      </c>
      <c r="M30" s="22">
        <v>0.0</v>
      </c>
      <c r="N30" s="22">
        <v>0.0</v>
      </c>
    </row>
    <row r="31" ht="12.75" customHeight="1">
      <c r="A31" s="24" t="s">
        <v>59</v>
      </c>
      <c r="B31" s="24" t="s">
        <v>60</v>
      </c>
      <c r="C31" s="24" t="s">
        <v>39</v>
      </c>
      <c r="D31" s="20" t="s">
        <v>61</v>
      </c>
      <c r="E31" s="21" t="s">
        <v>41</v>
      </c>
      <c r="F31" s="21">
        <v>3.0</v>
      </c>
      <c r="G31" s="22">
        <v>7812.5</v>
      </c>
      <c r="H31" s="23" t="s">
        <v>11</v>
      </c>
      <c r="I31" s="23">
        <v>2.0</v>
      </c>
      <c r="J31" s="39">
        <v>100.0</v>
      </c>
      <c r="K31" s="22">
        <v>80.0</v>
      </c>
      <c r="L31" s="22">
        <f t="shared" si="4"/>
        <v>200</v>
      </c>
      <c r="M31" s="22">
        <v>7812.5</v>
      </c>
      <c r="N31" s="22">
        <v>0.0</v>
      </c>
    </row>
    <row r="32" ht="12.75" customHeight="1">
      <c r="A32" s="24" t="s">
        <v>62</v>
      </c>
      <c r="B32" s="25" t="s">
        <v>63</v>
      </c>
      <c r="C32" s="25" t="s">
        <v>39</v>
      </c>
      <c r="D32" s="26" t="s">
        <v>64</v>
      </c>
      <c r="E32" s="27" t="s">
        <v>41</v>
      </c>
      <c r="F32" s="27" t="s">
        <v>42</v>
      </c>
      <c r="G32" s="28">
        <v>0.0</v>
      </c>
      <c r="H32" s="29" t="s">
        <v>11</v>
      </c>
      <c r="I32" s="29">
        <v>1.0</v>
      </c>
      <c r="J32" s="28">
        <f>ROUND(G32-((G32*K32)/100),2)</f>
        <v>0</v>
      </c>
      <c r="K32" s="28">
        <v>89.12</v>
      </c>
      <c r="L32" s="28">
        <f t="shared" si="4"/>
        <v>0</v>
      </c>
      <c r="M32" s="28">
        <v>0.0</v>
      </c>
      <c r="N32" s="28">
        <v>0.0</v>
      </c>
    </row>
    <row r="33" ht="12.75" customHeight="1">
      <c r="A33" s="30" t="s">
        <v>11</v>
      </c>
      <c r="B33" s="31" t="s">
        <v>65</v>
      </c>
      <c r="C33" s="31"/>
      <c r="D33" s="31"/>
      <c r="E33" s="31"/>
      <c r="F33" s="31"/>
      <c r="G33" s="31"/>
      <c r="H33" s="31"/>
      <c r="I33" s="31"/>
      <c r="J33" s="31"/>
      <c r="K33" s="31"/>
      <c r="L33" s="31"/>
      <c r="M33" s="31"/>
      <c r="N33" s="32"/>
    </row>
    <row r="34" ht="12.75" customHeight="1">
      <c r="A34" s="24" t="s">
        <v>66</v>
      </c>
      <c r="B34" s="33" t="s">
        <v>48</v>
      </c>
      <c r="C34" s="33" t="s">
        <v>39</v>
      </c>
      <c r="D34" s="34" t="s">
        <v>49</v>
      </c>
      <c r="E34" s="35" t="s">
        <v>41</v>
      </c>
      <c r="F34" s="35">
        <v>3.0</v>
      </c>
      <c r="G34" s="36">
        <v>0.0</v>
      </c>
      <c r="H34" s="37" t="s">
        <v>11</v>
      </c>
      <c r="I34" s="37">
        <v>1.0</v>
      </c>
      <c r="J34" s="36">
        <f>ROUND(G34-((G34*K34)/100),4)</f>
        <v>0</v>
      </c>
      <c r="K34" s="38">
        <v>89.12</v>
      </c>
      <c r="L34" s="38">
        <f>ROUND((I34 * J34),2)</f>
        <v>0</v>
      </c>
      <c r="M34" s="38">
        <v>0.0</v>
      </c>
      <c r="N34" s="38">
        <v>0.0</v>
      </c>
    </row>
    <row r="35" ht="12.75" customHeight="1">
      <c r="A35" s="24" t="s">
        <v>67</v>
      </c>
      <c r="B35" s="24" t="s">
        <v>68</v>
      </c>
      <c r="C35" s="24" t="s">
        <v>69</v>
      </c>
      <c r="D35" s="20" t="s">
        <v>70</v>
      </c>
      <c r="E35" s="21" t="s">
        <v>41</v>
      </c>
      <c r="F35" s="21">
        <v>3.0</v>
      </c>
      <c r="G35" s="22">
        <v>80.03</v>
      </c>
      <c r="H35" s="23">
        <v>1.0</v>
      </c>
      <c r="I35" s="23">
        <v>18.0</v>
      </c>
      <c r="J35" s="39">
        <v>100.0</v>
      </c>
      <c r="K35" s="22">
        <v>89.12</v>
      </c>
      <c r="L35" s="22">
        <f t="shared" ref="L35:L38" si="5">ROUND(((ROUND(G35-((G35 * K35)/100),2) * I35 * 60)/1),2)</f>
        <v>9406.8</v>
      </c>
      <c r="M35" s="22">
        <v>80.03</v>
      </c>
      <c r="N35" s="22">
        <v>0.0</v>
      </c>
    </row>
    <row r="36" ht="12.75" customHeight="1">
      <c r="A36" s="24" t="s">
        <v>71</v>
      </c>
      <c r="B36" s="24" t="s">
        <v>72</v>
      </c>
      <c r="C36" s="24" t="s">
        <v>39</v>
      </c>
      <c r="D36" s="20" t="s">
        <v>73</v>
      </c>
      <c r="E36" s="21" t="s">
        <v>41</v>
      </c>
      <c r="F36" s="21">
        <v>3.0</v>
      </c>
      <c r="G36" s="22">
        <v>0.0</v>
      </c>
      <c r="H36" s="23">
        <v>1.0</v>
      </c>
      <c r="I36" s="23">
        <v>1.0</v>
      </c>
      <c r="J36" s="22">
        <f t="shared" ref="J36:J37" si="6">ROUND(G36-((G36*K36)/100),2)</f>
        <v>0</v>
      </c>
      <c r="K36" s="22">
        <v>89.12</v>
      </c>
      <c r="L36" s="22">
        <f t="shared" si="5"/>
        <v>0</v>
      </c>
      <c r="M36" s="22">
        <v>0.0</v>
      </c>
      <c r="N36" s="22">
        <v>0.0</v>
      </c>
    </row>
    <row r="37" ht="12.75" customHeight="1">
      <c r="A37" s="24" t="s">
        <v>74</v>
      </c>
      <c r="B37" s="24" t="s">
        <v>75</v>
      </c>
      <c r="C37" s="24" t="s">
        <v>69</v>
      </c>
      <c r="D37" s="20" t="s">
        <v>76</v>
      </c>
      <c r="E37" s="21" t="s">
        <v>41</v>
      </c>
      <c r="F37" s="21">
        <v>3.0</v>
      </c>
      <c r="G37" s="22">
        <v>0.0</v>
      </c>
      <c r="H37" s="23">
        <v>1.0</v>
      </c>
      <c r="I37" s="23">
        <v>18.0</v>
      </c>
      <c r="J37" s="22">
        <f t="shared" si="6"/>
        <v>0</v>
      </c>
      <c r="K37" s="22">
        <v>89.12</v>
      </c>
      <c r="L37" s="22">
        <f t="shared" si="5"/>
        <v>0</v>
      </c>
      <c r="M37" s="22">
        <v>0.0</v>
      </c>
      <c r="N37" s="22">
        <v>0.0</v>
      </c>
    </row>
    <row r="38" ht="12.75" customHeight="1">
      <c r="A38" s="24" t="s">
        <v>77</v>
      </c>
      <c r="B38" s="24" t="s">
        <v>78</v>
      </c>
      <c r="C38" s="24" t="s">
        <v>39</v>
      </c>
      <c r="D38" s="20" t="s">
        <v>79</v>
      </c>
      <c r="E38" s="21" t="s">
        <v>41</v>
      </c>
      <c r="F38" s="21">
        <v>3.0</v>
      </c>
      <c r="G38" s="40">
        <v>0.0</v>
      </c>
      <c r="H38" s="23">
        <v>1.0</v>
      </c>
      <c r="I38" s="23">
        <v>1.0</v>
      </c>
      <c r="J38" s="40">
        <f>ROUND(G38-((G38*K38)/100),4)</f>
        <v>0</v>
      </c>
      <c r="K38" s="22">
        <v>89.12</v>
      </c>
      <c r="L38" s="22">
        <f t="shared" si="5"/>
        <v>0</v>
      </c>
      <c r="M38" s="22">
        <v>0.0</v>
      </c>
      <c r="N38" s="22">
        <v>0.0</v>
      </c>
    </row>
    <row r="39" ht="12.75" customHeight="1">
      <c r="A39" s="24" t="s">
        <v>80</v>
      </c>
      <c r="B39" s="24" t="s">
        <v>81</v>
      </c>
      <c r="C39" s="24" t="s">
        <v>39</v>
      </c>
      <c r="D39" s="20" t="s">
        <v>82</v>
      </c>
      <c r="E39" s="21" t="s">
        <v>41</v>
      </c>
      <c r="F39" s="21">
        <v>21.0</v>
      </c>
      <c r="G39" s="22">
        <v>5803.26</v>
      </c>
      <c r="H39" s="23" t="s">
        <v>11</v>
      </c>
      <c r="I39" s="23">
        <v>18.0</v>
      </c>
      <c r="J39" s="39">
        <v>100.0</v>
      </c>
      <c r="K39" s="22">
        <v>89.12</v>
      </c>
      <c r="L39" s="22">
        <f t="shared" ref="L39:L59" si="7">ROUND((I39 * J39),2)</f>
        <v>1800</v>
      </c>
      <c r="M39" s="22">
        <v>5803.26</v>
      </c>
      <c r="N39" s="22">
        <v>0.0</v>
      </c>
    </row>
    <row r="40" ht="12.75" customHeight="1">
      <c r="A40" s="24" t="s">
        <v>83</v>
      </c>
      <c r="B40" s="24" t="s">
        <v>84</v>
      </c>
      <c r="C40" s="24" t="s">
        <v>39</v>
      </c>
      <c r="D40" s="20" t="s">
        <v>85</v>
      </c>
      <c r="E40" s="21">
        <v>60.0</v>
      </c>
      <c r="F40" s="21" t="s">
        <v>42</v>
      </c>
      <c r="G40" s="22">
        <v>1880.25</v>
      </c>
      <c r="H40" s="23" t="s">
        <v>11</v>
      </c>
      <c r="I40" s="23">
        <v>18.0</v>
      </c>
      <c r="J40" s="22">
        <f t="shared" ref="J40:J41" si="8">ROUND(G40-((G40*K40)/100),2)</f>
        <v>0</v>
      </c>
      <c r="K40" s="22">
        <v>100.0</v>
      </c>
      <c r="L40" s="22">
        <f t="shared" si="7"/>
        <v>0</v>
      </c>
      <c r="M40" s="22">
        <v>0.0</v>
      </c>
      <c r="N40" s="22">
        <v>0.0</v>
      </c>
    </row>
    <row r="41" ht="12.75" customHeight="1">
      <c r="A41" s="24" t="s">
        <v>86</v>
      </c>
      <c r="B41" s="24" t="s">
        <v>87</v>
      </c>
      <c r="C41" s="24" t="s">
        <v>39</v>
      </c>
      <c r="D41" s="20" t="s">
        <v>88</v>
      </c>
      <c r="E41" s="21" t="s">
        <v>41</v>
      </c>
      <c r="F41" s="21">
        <v>21.0</v>
      </c>
      <c r="G41" s="22">
        <v>0.0</v>
      </c>
      <c r="H41" s="23" t="s">
        <v>11</v>
      </c>
      <c r="I41" s="23">
        <v>18.0</v>
      </c>
      <c r="J41" s="22">
        <f t="shared" si="8"/>
        <v>0</v>
      </c>
      <c r="K41" s="22">
        <v>89.12</v>
      </c>
      <c r="L41" s="22">
        <f t="shared" si="7"/>
        <v>0</v>
      </c>
      <c r="M41" s="22">
        <v>0.0</v>
      </c>
      <c r="N41" s="22">
        <v>0.0</v>
      </c>
    </row>
    <row r="42" ht="12.75" customHeight="1">
      <c r="A42" s="24" t="s">
        <v>89</v>
      </c>
      <c r="B42" s="24" t="s">
        <v>90</v>
      </c>
      <c r="C42" s="24" t="s">
        <v>39</v>
      </c>
      <c r="D42" s="20" t="s">
        <v>91</v>
      </c>
      <c r="E42" s="21" t="s">
        <v>41</v>
      </c>
      <c r="F42" s="21">
        <v>35.0</v>
      </c>
      <c r="G42" s="22">
        <v>12135.27</v>
      </c>
      <c r="H42" s="23" t="s">
        <v>11</v>
      </c>
      <c r="I42" s="23">
        <v>18.0</v>
      </c>
      <c r="J42" s="39">
        <v>100.0</v>
      </c>
      <c r="K42" s="22">
        <v>89.12</v>
      </c>
      <c r="L42" s="22">
        <f t="shared" si="7"/>
        <v>1800</v>
      </c>
      <c r="M42" s="22">
        <v>12135.27</v>
      </c>
      <c r="N42" s="22">
        <v>0.0</v>
      </c>
    </row>
    <row r="43" ht="12.75" customHeight="1">
      <c r="A43" s="24" t="s">
        <v>92</v>
      </c>
      <c r="B43" s="24" t="s">
        <v>93</v>
      </c>
      <c r="C43" s="24" t="s">
        <v>39</v>
      </c>
      <c r="D43" s="20" t="s">
        <v>94</v>
      </c>
      <c r="E43" s="21" t="s">
        <v>41</v>
      </c>
      <c r="F43" s="21">
        <v>21.0</v>
      </c>
      <c r="G43" s="22">
        <v>2366.29</v>
      </c>
      <c r="H43" s="23" t="s">
        <v>11</v>
      </c>
      <c r="I43" s="23">
        <v>216.0</v>
      </c>
      <c r="J43" s="39">
        <v>100.0</v>
      </c>
      <c r="K43" s="22">
        <v>89.12</v>
      </c>
      <c r="L43" s="22">
        <f t="shared" si="7"/>
        <v>21600</v>
      </c>
      <c r="M43" s="22">
        <v>2366.29</v>
      </c>
      <c r="N43" s="22">
        <v>0.0</v>
      </c>
    </row>
    <row r="44" ht="12.75" customHeight="1">
      <c r="A44" s="24" t="s">
        <v>95</v>
      </c>
      <c r="B44" s="24" t="s">
        <v>96</v>
      </c>
      <c r="C44" s="24" t="s">
        <v>39</v>
      </c>
      <c r="D44" s="20" t="s">
        <v>97</v>
      </c>
      <c r="E44" s="21" t="s">
        <v>41</v>
      </c>
      <c r="F44" s="21">
        <v>35.0</v>
      </c>
      <c r="G44" s="22">
        <v>541.76</v>
      </c>
      <c r="H44" s="23" t="s">
        <v>11</v>
      </c>
      <c r="I44" s="23">
        <v>18.0</v>
      </c>
      <c r="J44" s="39">
        <v>100.0</v>
      </c>
      <c r="K44" s="22">
        <v>89.12</v>
      </c>
      <c r="L44" s="22">
        <f t="shared" si="7"/>
        <v>1800</v>
      </c>
      <c r="M44" s="22">
        <v>541.76</v>
      </c>
      <c r="N44" s="22">
        <v>0.0</v>
      </c>
    </row>
    <row r="45" ht="12.75" customHeight="1">
      <c r="A45" s="24" t="s">
        <v>98</v>
      </c>
      <c r="B45" s="24" t="s">
        <v>99</v>
      </c>
      <c r="C45" s="24" t="s">
        <v>39</v>
      </c>
      <c r="D45" s="20" t="s">
        <v>100</v>
      </c>
      <c r="E45" s="21" t="s">
        <v>41</v>
      </c>
      <c r="F45" s="21">
        <v>21.0</v>
      </c>
      <c r="G45" s="22">
        <v>463.59</v>
      </c>
      <c r="H45" s="23" t="s">
        <v>11</v>
      </c>
      <c r="I45" s="23">
        <v>18.0</v>
      </c>
      <c r="J45" s="39">
        <v>100.0</v>
      </c>
      <c r="K45" s="22">
        <v>89.12</v>
      </c>
      <c r="L45" s="22">
        <f t="shared" si="7"/>
        <v>1800</v>
      </c>
      <c r="M45" s="22">
        <v>463.59</v>
      </c>
      <c r="N45" s="22">
        <v>0.0</v>
      </c>
    </row>
    <row r="46" ht="12.75" customHeight="1">
      <c r="A46" s="24" t="s">
        <v>101</v>
      </c>
      <c r="B46" s="24" t="s">
        <v>102</v>
      </c>
      <c r="C46" s="24" t="s">
        <v>39</v>
      </c>
      <c r="D46" s="20" t="s">
        <v>103</v>
      </c>
      <c r="E46" s="21" t="s">
        <v>41</v>
      </c>
      <c r="F46" s="21">
        <v>21.0</v>
      </c>
      <c r="G46" s="22">
        <v>1370.96</v>
      </c>
      <c r="H46" s="23" t="s">
        <v>11</v>
      </c>
      <c r="I46" s="23">
        <v>18.0</v>
      </c>
      <c r="J46" s="39">
        <v>100.0</v>
      </c>
      <c r="K46" s="22">
        <v>89.12</v>
      </c>
      <c r="L46" s="22">
        <f t="shared" si="7"/>
        <v>1800</v>
      </c>
      <c r="M46" s="22">
        <v>1370.96</v>
      </c>
      <c r="N46" s="22">
        <v>0.0</v>
      </c>
    </row>
    <row r="47" ht="12.75" customHeight="1">
      <c r="A47" s="24" t="s">
        <v>104</v>
      </c>
      <c r="B47" s="24" t="s">
        <v>105</v>
      </c>
      <c r="C47" s="24" t="s">
        <v>39</v>
      </c>
      <c r="D47" s="20" t="s">
        <v>106</v>
      </c>
      <c r="E47" s="21" t="s">
        <v>41</v>
      </c>
      <c r="F47" s="21">
        <v>21.0</v>
      </c>
      <c r="G47" s="22">
        <v>12152.75</v>
      </c>
      <c r="H47" s="23" t="s">
        <v>11</v>
      </c>
      <c r="I47" s="23">
        <v>18.0</v>
      </c>
      <c r="J47" s="39">
        <v>100.0</v>
      </c>
      <c r="K47" s="22">
        <v>89.12</v>
      </c>
      <c r="L47" s="22">
        <f t="shared" si="7"/>
        <v>1800</v>
      </c>
      <c r="M47" s="22">
        <v>12152.75</v>
      </c>
      <c r="N47" s="22">
        <v>0.0</v>
      </c>
    </row>
    <row r="48" ht="12.75" customHeight="1">
      <c r="A48" s="24" t="s">
        <v>107</v>
      </c>
      <c r="B48" s="24" t="s">
        <v>105</v>
      </c>
      <c r="C48" s="24" t="s">
        <v>39</v>
      </c>
      <c r="D48" s="20" t="s">
        <v>106</v>
      </c>
      <c r="E48" s="21" t="s">
        <v>41</v>
      </c>
      <c r="F48" s="21">
        <v>21.0</v>
      </c>
      <c r="G48" s="22">
        <v>12152.75</v>
      </c>
      <c r="H48" s="23" t="s">
        <v>11</v>
      </c>
      <c r="I48" s="23">
        <v>18.0</v>
      </c>
      <c r="J48" s="39">
        <v>100.0</v>
      </c>
      <c r="K48" s="22">
        <v>89.12</v>
      </c>
      <c r="L48" s="22">
        <f t="shared" si="7"/>
        <v>1800</v>
      </c>
      <c r="M48" s="22">
        <v>12152.75</v>
      </c>
      <c r="N48" s="22">
        <v>0.0</v>
      </c>
    </row>
    <row r="49" ht="12.75" customHeight="1">
      <c r="A49" s="24" t="s">
        <v>108</v>
      </c>
      <c r="B49" s="24" t="s">
        <v>109</v>
      </c>
      <c r="C49" s="24" t="s">
        <v>39</v>
      </c>
      <c r="D49" s="20" t="s">
        <v>110</v>
      </c>
      <c r="E49" s="21" t="s">
        <v>41</v>
      </c>
      <c r="F49" s="21">
        <v>56.0</v>
      </c>
      <c r="G49" s="22">
        <v>1609.14</v>
      </c>
      <c r="H49" s="23" t="s">
        <v>11</v>
      </c>
      <c r="I49" s="23">
        <v>36.0</v>
      </c>
      <c r="J49" s="39">
        <v>100.0</v>
      </c>
      <c r="K49" s="22">
        <v>89.12</v>
      </c>
      <c r="L49" s="22">
        <f t="shared" si="7"/>
        <v>3600</v>
      </c>
      <c r="M49" s="22">
        <v>1609.14</v>
      </c>
      <c r="N49" s="22">
        <v>0.0</v>
      </c>
    </row>
    <row r="50" ht="12.75" customHeight="1">
      <c r="A50" s="24" t="s">
        <v>111</v>
      </c>
      <c r="B50" s="24" t="s">
        <v>112</v>
      </c>
      <c r="C50" s="24" t="s">
        <v>39</v>
      </c>
      <c r="D50" s="20" t="s">
        <v>113</v>
      </c>
      <c r="E50" s="21" t="s">
        <v>41</v>
      </c>
      <c r="F50" s="21">
        <v>21.0</v>
      </c>
      <c r="G50" s="22">
        <v>218.13</v>
      </c>
      <c r="H50" s="23" t="s">
        <v>11</v>
      </c>
      <c r="I50" s="23">
        <v>18.0</v>
      </c>
      <c r="J50" s="39">
        <v>100.0</v>
      </c>
      <c r="K50" s="22">
        <v>89.12</v>
      </c>
      <c r="L50" s="22">
        <f t="shared" si="7"/>
        <v>1800</v>
      </c>
      <c r="M50" s="22">
        <v>218.13</v>
      </c>
      <c r="N50" s="22">
        <v>0.0</v>
      </c>
    </row>
    <row r="51" ht="12.75" customHeight="1">
      <c r="A51" s="24" t="s">
        <v>114</v>
      </c>
      <c r="B51" s="24" t="s">
        <v>115</v>
      </c>
      <c r="C51" s="24" t="s">
        <v>39</v>
      </c>
      <c r="D51" s="20" t="s">
        <v>116</v>
      </c>
      <c r="E51" s="21" t="s">
        <v>41</v>
      </c>
      <c r="F51" s="21">
        <v>21.0</v>
      </c>
      <c r="G51" s="22">
        <v>536.27</v>
      </c>
      <c r="H51" s="23" t="s">
        <v>11</v>
      </c>
      <c r="I51" s="23">
        <v>36.0</v>
      </c>
      <c r="J51" s="39">
        <v>100.0</v>
      </c>
      <c r="K51" s="22">
        <v>89.12</v>
      </c>
      <c r="L51" s="22">
        <f t="shared" si="7"/>
        <v>3600</v>
      </c>
      <c r="M51" s="22">
        <v>536.27</v>
      </c>
      <c r="N51" s="22">
        <v>0.0</v>
      </c>
    </row>
    <row r="52" ht="12.75" customHeight="1">
      <c r="A52" s="24" t="s">
        <v>117</v>
      </c>
      <c r="B52" s="24" t="s">
        <v>118</v>
      </c>
      <c r="C52" s="24" t="s">
        <v>39</v>
      </c>
      <c r="D52" s="20" t="s">
        <v>119</v>
      </c>
      <c r="E52" s="21" t="s">
        <v>41</v>
      </c>
      <c r="F52" s="21">
        <v>14.0</v>
      </c>
      <c r="G52" s="22">
        <v>0.0</v>
      </c>
      <c r="H52" s="23" t="s">
        <v>11</v>
      </c>
      <c r="I52" s="23">
        <v>36.0</v>
      </c>
      <c r="J52" s="22">
        <f t="shared" ref="J52:J53" si="9">ROUND(G52-((G52*K52)/100),2)</f>
        <v>0</v>
      </c>
      <c r="K52" s="22">
        <v>89.12</v>
      </c>
      <c r="L52" s="22">
        <f t="shared" si="7"/>
        <v>0</v>
      </c>
      <c r="M52" s="22">
        <v>0.0</v>
      </c>
      <c r="N52" s="22">
        <v>0.0</v>
      </c>
    </row>
    <row r="53" ht="12.75" customHeight="1">
      <c r="A53" s="24" t="s">
        <v>120</v>
      </c>
      <c r="B53" s="24" t="s">
        <v>121</v>
      </c>
      <c r="C53" s="24" t="s">
        <v>39</v>
      </c>
      <c r="D53" s="20" t="s">
        <v>122</v>
      </c>
      <c r="E53" s="21" t="s">
        <v>41</v>
      </c>
      <c r="F53" s="21">
        <v>21.0</v>
      </c>
      <c r="G53" s="22">
        <v>0.0</v>
      </c>
      <c r="H53" s="23" t="s">
        <v>11</v>
      </c>
      <c r="I53" s="23">
        <v>18.0</v>
      </c>
      <c r="J53" s="22">
        <f t="shared" si="9"/>
        <v>0</v>
      </c>
      <c r="K53" s="22">
        <v>89.12</v>
      </c>
      <c r="L53" s="22">
        <f t="shared" si="7"/>
        <v>0</v>
      </c>
      <c r="M53" s="22">
        <v>0.0</v>
      </c>
      <c r="N53" s="22">
        <v>0.0</v>
      </c>
    </row>
    <row r="54" ht="12.75" customHeight="1">
      <c r="A54" s="24" t="s">
        <v>123</v>
      </c>
      <c r="B54" s="24" t="s">
        <v>124</v>
      </c>
      <c r="C54" s="24" t="s">
        <v>39</v>
      </c>
      <c r="D54" s="20" t="s">
        <v>125</v>
      </c>
      <c r="E54" s="21" t="s">
        <v>41</v>
      </c>
      <c r="F54" s="21">
        <v>21.0</v>
      </c>
      <c r="G54" s="22">
        <v>223.15</v>
      </c>
      <c r="H54" s="23" t="s">
        <v>11</v>
      </c>
      <c r="I54" s="23">
        <v>18.0</v>
      </c>
      <c r="J54" s="39">
        <v>100.0</v>
      </c>
      <c r="K54" s="22">
        <v>89.12</v>
      </c>
      <c r="L54" s="22">
        <f t="shared" si="7"/>
        <v>1800</v>
      </c>
      <c r="M54" s="22">
        <v>223.15</v>
      </c>
      <c r="N54" s="22">
        <v>0.0</v>
      </c>
    </row>
    <row r="55" ht="12.75" customHeight="1">
      <c r="A55" s="24" t="s">
        <v>126</v>
      </c>
      <c r="B55" s="24" t="s">
        <v>127</v>
      </c>
      <c r="C55" s="24" t="s">
        <v>39</v>
      </c>
      <c r="D55" s="20" t="s">
        <v>128</v>
      </c>
      <c r="E55" s="21" t="s">
        <v>41</v>
      </c>
      <c r="F55" s="21">
        <v>21.0</v>
      </c>
      <c r="G55" s="22">
        <v>53.9</v>
      </c>
      <c r="H55" s="23" t="s">
        <v>11</v>
      </c>
      <c r="I55" s="23">
        <v>18.0</v>
      </c>
      <c r="J55" s="39">
        <v>100.0</v>
      </c>
      <c r="K55" s="22">
        <v>89.12</v>
      </c>
      <c r="L55" s="22">
        <f t="shared" si="7"/>
        <v>1800</v>
      </c>
      <c r="M55" s="22">
        <v>53.9</v>
      </c>
      <c r="N55" s="22">
        <v>0.0</v>
      </c>
    </row>
    <row r="56" ht="12.75" customHeight="1">
      <c r="A56" s="24" t="s">
        <v>129</v>
      </c>
      <c r="B56" s="24" t="s">
        <v>130</v>
      </c>
      <c r="C56" s="24" t="s">
        <v>39</v>
      </c>
      <c r="D56" s="20" t="s">
        <v>131</v>
      </c>
      <c r="E56" s="21" t="s">
        <v>41</v>
      </c>
      <c r="F56" s="21">
        <v>21.0</v>
      </c>
      <c r="G56" s="22">
        <v>0.0</v>
      </c>
      <c r="H56" s="23" t="s">
        <v>11</v>
      </c>
      <c r="I56" s="23">
        <v>18.0</v>
      </c>
      <c r="J56" s="22">
        <f t="shared" ref="J56:J57" si="10">ROUND(G56-((G56*K56)/100),2)</f>
        <v>0</v>
      </c>
      <c r="K56" s="22">
        <v>89.12</v>
      </c>
      <c r="L56" s="22">
        <f t="shared" si="7"/>
        <v>0</v>
      </c>
      <c r="M56" s="22">
        <v>0.0</v>
      </c>
      <c r="N56" s="22">
        <v>0.0</v>
      </c>
    </row>
    <row r="57" ht="12.75" customHeight="1">
      <c r="A57" s="24" t="s">
        <v>132</v>
      </c>
      <c r="B57" s="24" t="s">
        <v>133</v>
      </c>
      <c r="C57" s="24" t="s">
        <v>39</v>
      </c>
      <c r="D57" s="20" t="s">
        <v>134</v>
      </c>
      <c r="E57" s="21" t="s">
        <v>41</v>
      </c>
      <c r="F57" s="21">
        <v>21.0</v>
      </c>
      <c r="G57" s="22">
        <v>0.0</v>
      </c>
      <c r="H57" s="23" t="s">
        <v>11</v>
      </c>
      <c r="I57" s="23">
        <v>18.0</v>
      </c>
      <c r="J57" s="22">
        <f t="shared" si="10"/>
        <v>0</v>
      </c>
      <c r="K57" s="22">
        <v>89.12</v>
      </c>
      <c r="L57" s="22">
        <f t="shared" si="7"/>
        <v>0</v>
      </c>
      <c r="M57" s="22">
        <v>0.0</v>
      </c>
      <c r="N57" s="22">
        <v>0.0</v>
      </c>
    </row>
    <row r="58" ht="12.75" customHeight="1">
      <c r="A58" s="24" t="s">
        <v>135</v>
      </c>
      <c r="B58" s="24" t="s">
        <v>136</v>
      </c>
      <c r="C58" s="24" t="s">
        <v>39</v>
      </c>
      <c r="D58" s="20" t="s">
        <v>137</v>
      </c>
      <c r="E58" s="21" t="s">
        <v>41</v>
      </c>
      <c r="F58" s="21">
        <v>105.0</v>
      </c>
      <c r="G58" s="22">
        <v>26463.36</v>
      </c>
      <c r="H58" s="23" t="s">
        <v>11</v>
      </c>
      <c r="I58" s="23">
        <v>144.0</v>
      </c>
      <c r="J58" s="39">
        <v>100.0</v>
      </c>
      <c r="K58" s="22">
        <v>89.12</v>
      </c>
      <c r="L58" s="22">
        <f t="shared" si="7"/>
        <v>14400</v>
      </c>
      <c r="M58" s="22">
        <v>26463.36</v>
      </c>
      <c r="N58" s="22">
        <v>0.0</v>
      </c>
    </row>
    <row r="59" ht="12.75" customHeight="1">
      <c r="A59" s="24" t="s">
        <v>138</v>
      </c>
      <c r="B59" s="24" t="s">
        <v>139</v>
      </c>
      <c r="C59" s="24" t="s">
        <v>39</v>
      </c>
      <c r="D59" s="20" t="s">
        <v>140</v>
      </c>
      <c r="E59" s="21" t="s">
        <v>41</v>
      </c>
      <c r="F59" s="21">
        <v>21.0</v>
      </c>
      <c r="G59" s="22">
        <v>13888.85</v>
      </c>
      <c r="H59" s="23" t="s">
        <v>11</v>
      </c>
      <c r="I59" s="23">
        <v>36.0</v>
      </c>
      <c r="J59" s="39">
        <v>100.0</v>
      </c>
      <c r="K59" s="22">
        <v>89.12</v>
      </c>
      <c r="L59" s="22">
        <f t="shared" si="7"/>
        <v>3600</v>
      </c>
      <c r="M59" s="22">
        <v>13888.85</v>
      </c>
      <c r="N59" s="22">
        <v>0.0</v>
      </c>
    </row>
    <row r="60" ht="12.75" customHeight="1">
      <c r="A60" s="5" t="s">
        <v>11</v>
      </c>
      <c r="B60" s="5" t="s">
        <v>11</v>
      </c>
      <c r="C60" s="5" t="s">
        <v>11</v>
      </c>
      <c r="D60" s="5" t="s">
        <v>11</v>
      </c>
      <c r="E60" s="5" t="s">
        <v>11</v>
      </c>
      <c r="F60" s="5" t="s">
        <v>11</v>
      </c>
      <c r="G60" s="5" t="s">
        <v>11</v>
      </c>
      <c r="H60" s="5" t="s">
        <v>11</v>
      </c>
      <c r="I60" s="5" t="s">
        <v>11</v>
      </c>
      <c r="J60" s="5" t="s">
        <v>11</v>
      </c>
      <c r="K60" s="5" t="s">
        <v>11</v>
      </c>
      <c r="L60" s="5" t="s">
        <v>11</v>
      </c>
      <c r="M60" s="5" t="s">
        <v>11</v>
      </c>
      <c r="N60" s="5" t="s">
        <v>11</v>
      </c>
    </row>
    <row r="61" ht="12.75" customHeight="1">
      <c r="A61" s="41" t="s">
        <v>141</v>
      </c>
    </row>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8">
    <mergeCell ref="M9:N9"/>
    <mergeCell ref="M10:N10"/>
    <mergeCell ref="M8:N8"/>
    <mergeCell ref="M11:N11"/>
    <mergeCell ref="M7:N7"/>
    <mergeCell ref="M12:N12"/>
    <mergeCell ref="L21:N21"/>
    <mergeCell ref="A15:N16"/>
    <mergeCell ref="A17:B17"/>
    <mergeCell ref="A23:C23"/>
    <mergeCell ref="A61:N63"/>
    <mergeCell ref="A2:N2"/>
    <mergeCell ref="A7:C7"/>
    <mergeCell ref="A8:C8"/>
    <mergeCell ref="A9:C9"/>
    <mergeCell ref="A10:C10"/>
    <mergeCell ref="A11:C11"/>
    <mergeCell ref="A12:C12"/>
  </mergeCells>
  <printOptions horizontalCentered="1"/>
  <pageMargins bottom="0.75" footer="0.0" header="0.0" left="0.7" right="0.7" top="0.75"/>
  <pageSetup paperSize="9" orientation="landscape"/>
  <headerFooter>
    <oddFooter>&amp;R_x000D_#000000 Cisco Confidential</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2026-01-07T06:42:12Z</dcterms:created>
  <dc:creator>Apache POI</dc:creator>
</cp:coreProperties>
</file>