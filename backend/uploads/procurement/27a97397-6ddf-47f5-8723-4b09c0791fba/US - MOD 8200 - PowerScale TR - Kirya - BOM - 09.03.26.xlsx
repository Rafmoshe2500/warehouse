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ll-my.sharepoint.com/personal/nissim_peretz_dell_com/Documents/Nissim and Ben/MOD 8200/הזדמנויות/"/>
    </mc:Choice>
  </mc:AlternateContent>
  <xr:revisionPtr revIDLastSave="707" documentId="8_{28D046F2-F614-498C-88E2-BA5143838D03}" xr6:coauthVersionLast="47" xr6:coauthVersionMax="47" xr10:uidLastSave="{EDADD2C6-B5E2-4CDA-AA21-AE4A7AA8227F}"/>
  <bookViews>
    <workbookView xWindow="-110" yWindow="-110" windowWidth="19420" windowHeight="11500" xr2:uid="{00000000-000D-0000-FFFF-FFFF00000000}"/>
  </bookViews>
  <sheets>
    <sheet name="Option A" sheetId="3" r:id="rId1"/>
    <sheet name="Option 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0" i="5" l="1"/>
  <c r="G134" i="5"/>
  <c r="G74" i="5"/>
  <c r="G7" i="5"/>
  <c r="F7" i="5" s="1"/>
  <c r="J159" i="5"/>
  <c r="I159" i="5"/>
  <c r="F159" i="5"/>
  <c r="J158" i="5"/>
  <c r="I158" i="5" s="1"/>
  <c r="F158" i="5"/>
  <c r="J157" i="5"/>
  <c r="I157" i="5" s="1"/>
  <c r="F157" i="5"/>
  <c r="J156" i="5"/>
  <c r="I156" i="5" s="1"/>
  <c r="F156" i="5"/>
  <c r="J155" i="5"/>
  <c r="I155" i="5" s="1"/>
  <c r="F155" i="5"/>
  <c r="J154" i="5"/>
  <c r="I154" i="5" s="1"/>
  <c r="F154" i="5"/>
  <c r="J153" i="5"/>
  <c r="I153" i="5"/>
  <c r="F153" i="5"/>
  <c r="J152" i="5"/>
  <c r="I152" i="5" s="1"/>
  <c r="F152" i="5"/>
  <c r="J151" i="5"/>
  <c r="I151" i="5" s="1"/>
  <c r="F151" i="5"/>
  <c r="J150" i="5"/>
  <c r="I150" i="5"/>
  <c r="F150" i="5"/>
  <c r="J149" i="5"/>
  <c r="I149" i="5" s="1"/>
  <c r="F149" i="5"/>
  <c r="J148" i="5"/>
  <c r="I148" i="5" s="1"/>
  <c r="F148" i="5"/>
  <c r="J147" i="5"/>
  <c r="I147" i="5" s="1"/>
  <c r="F147" i="5"/>
  <c r="J146" i="5"/>
  <c r="I146" i="5" s="1"/>
  <c r="F146" i="5"/>
  <c r="J145" i="5"/>
  <c r="I145" i="5"/>
  <c r="F145" i="5"/>
  <c r="J144" i="5"/>
  <c r="I144" i="5" s="1"/>
  <c r="F144" i="5"/>
  <c r="J143" i="5"/>
  <c r="I143" i="5" s="1"/>
  <c r="F143" i="5"/>
  <c r="J142" i="5"/>
  <c r="I142" i="5" s="1"/>
  <c r="F142" i="5"/>
  <c r="J141" i="5"/>
  <c r="I141" i="5" s="1"/>
  <c r="F141" i="5"/>
  <c r="J140" i="5"/>
  <c r="I140" i="5" s="1"/>
  <c r="F140" i="5"/>
  <c r="J139" i="5"/>
  <c r="I139" i="5" s="1"/>
  <c r="F139" i="5"/>
  <c r="J138" i="5"/>
  <c r="I138" i="5" s="1"/>
  <c r="F138" i="5"/>
  <c r="J137" i="5"/>
  <c r="I137" i="5" s="1"/>
  <c r="F137" i="5"/>
  <c r="J136" i="5"/>
  <c r="I136" i="5" s="1"/>
  <c r="F136" i="5"/>
  <c r="J135" i="5"/>
  <c r="I135" i="5" s="1"/>
  <c r="F135" i="5"/>
  <c r="J134" i="5"/>
  <c r="I134" i="5" s="1"/>
  <c r="F134" i="5"/>
  <c r="J133" i="5"/>
  <c r="I133" i="5" s="1"/>
  <c r="F133" i="5"/>
  <c r="J132" i="5"/>
  <c r="I132" i="5"/>
  <c r="F132" i="5"/>
  <c r="J131" i="5"/>
  <c r="I131" i="5" s="1"/>
  <c r="F131" i="5"/>
  <c r="J130" i="5"/>
  <c r="I130" i="5"/>
  <c r="F130" i="5"/>
  <c r="J129" i="5"/>
  <c r="I129" i="5" s="1"/>
  <c r="F129" i="5"/>
  <c r="J128" i="5"/>
  <c r="I128" i="5" s="1"/>
  <c r="F128" i="5"/>
  <c r="J127" i="5"/>
  <c r="I127" i="5"/>
  <c r="F127" i="5"/>
  <c r="J126" i="5"/>
  <c r="I126" i="5"/>
  <c r="F126" i="5"/>
  <c r="J125" i="5"/>
  <c r="I125" i="5" s="1"/>
  <c r="F125" i="5"/>
  <c r="J124" i="5"/>
  <c r="I124" i="5" s="1"/>
  <c r="F124" i="5"/>
  <c r="J123" i="5"/>
  <c r="I123" i="5"/>
  <c r="F123" i="5"/>
  <c r="J122" i="5"/>
  <c r="I122" i="5" s="1"/>
  <c r="F122" i="5"/>
  <c r="J121" i="5"/>
  <c r="I121" i="5" s="1"/>
  <c r="F121" i="5"/>
  <c r="J120" i="5"/>
  <c r="I120" i="5"/>
  <c r="F120" i="5"/>
  <c r="J119" i="5"/>
  <c r="I119" i="5" s="1"/>
  <c r="F119" i="5"/>
  <c r="J118" i="5"/>
  <c r="I118" i="5" s="1"/>
  <c r="F118" i="5"/>
  <c r="J117" i="5"/>
  <c r="I117" i="5" s="1"/>
  <c r="F117" i="5"/>
  <c r="J116" i="5"/>
  <c r="I116" i="5" s="1"/>
  <c r="F116" i="5"/>
  <c r="J115" i="5"/>
  <c r="I115" i="5" s="1"/>
  <c r="F115" i="5"/>
  <c r="J114" i="5"/>
  <c r="I114" i="5" s="1"/>
  <c r="F114" i="5"/>
  <c r="J113" i="5"/>
  <c r="I113" i="5" s="1"/>
  <c r="F113" i="5"/>
  <c r="J112" i="5"/>
  <c r="I112" i="5"/>
  <c r="F112" i="5"/>
  <c r="J111" i="5"/>
  <c r="I111" i="5" s="1"/>
  <c r="F111" i="5"/>
  <c r="J110" i="5"/>
  <c r="I110" i="5" s="1"/>
  <c r="F110" i="5"/>
  <c r="J109" i="5"/>
  <c r="I109" i="5" s="1"/>
  <c r="F109" i="5"/>
  <c r="J108" i="5"/>
  <c r="I108" i="5" s="1"/>
  <c r="F108" i="5"/>
  <c r="J107" i="5"/>
  <c r="I107" i="5" s="1"/>
  <c r="F107" i="5"/>
  <c r="J106" i="5"/>
  <c r="I106" i="5" s="1"/>
  <c r="F106" i="5"/>
  <c r="J105" i="5"/>
  <c r="I105" i="5" s="1"/>
  <c r="F105" i="5"/>
  <c r="J104" i="5"/>
  <c r="I104" i="5" s="1"/>
  <c r="F104" i="5"/>
  <c r="J103" i="5"/>
  <c r="I103" i="5"/>
  <c r="F103" i="5"/>
  <c r="J102" i="5"/>
  <c r="I102" i="5" s="1"/>
  <c r="F102" i="5"/>
  <c r="J101" i="5"/>
  <c r="I101" i="5" s="1"/>
  <c r="F101" i="5"/>
  <c r="J100" i="5"/>
  <c r="I100" i="5" s="1"/>
  <c r="F100" i="5"/>
  <c r="J99" i="5"/>
  <c r="I99" i="5"/>
  <c r="F99" i="5"/>
  <c r="J98" i="5"/>
  <c r="I98" i="5"/>
  <c r="F98" i="5"/>
  <c r="J97" i="5"/>
  <c r="I97" i="5" s="1"/>
  <c r="F97" i="5"/>
  <c r="J96" i="5"/>
  <c r="I96" i="5" s="1"/>
  <c r="F96" i="5"/>
  <c r="J95" i="5"/>
  <c r="I95" i="5"/>
  <c r="F95" i="5"/>
  <c r="J94" i="5"/>
  <c r="I94" i="5" s="1"/>
  <c r="F94" i="5"/>
  <c r="J93" i="5"/>
  <c r="I93" i="5" s="1"/>
  <c r="F93" i="5"/>
  <c r="J92" i="5"/>
  <c r="I92" i="5"/>
  <c r="F92" i="5"/>
  <c r="J91" i="5"/>
  <c r="I91" i="5" s="1"/>
  <c r="F91" i="5"/>
  <c r="J90" i="5"/>
  <c r="I90" i="5"/>
  <c r="F90" i="5"/>
  <c r="J89" i="5"/>
  <c r="I89" i="5" s="1"/>
  <c r="F89" i="5"/>
  <c r="J88" i="5"/>
  <c r="I88" i="5" s="1"/>
  <c r="F88" i="5"/>
  <c r="J87" i="5"/>
  <c r="I87" i="5"/>
  <c r="F87" i="5"/>
  <c r="J86" i="5"/>
  <c r="I86" i="5" s="1"/>
  <c r="F86" i="5"/>
  <c r="J85" i="5"/>
  <c r="I85" i="5" s="1"/>
  <c r="F85" i="5"/>
  <c r="J84" i="5"/>
  <c r="I84" i="5"/>
  <c r="F84" i="5"/>
  <c r="J83" i="5"/>
  <c r="I83" i="5"/>
  <c r="F83" i="5"/>
  <c r="J82" i="5"/>
  <c r="I82" i="5" s="1"/>
  <c r="F82" i="5"/>
  <c r="J81" i="5"/>
  <c r="I81" i="5" s="1"/>
  <c r="F81" i="5"/>
  <c r="J80" i="5"/>
  <c r="I80" i="5"/>
  <c r="F80" i="5"/>
  <c r="J79" i="5"/>
  <c r="I79" i="5" s="1"/>
  <c r="F79" i="5"/>
  <c r="J78" i="5"/>
  <c r="I78" i="5" s="1"/>
  <c r="F78" i="5"/>
  <c r="J77" i="5"/>
  <c r="I77" i="5"/>
  <c r="F77" i="5"/>
  <c r="J76" i="5"/>
  <c r="I76" i="5" s="1"/>
  <c r="F76" i="5"/>
  <c r="J75" i="5"/>
  <c r="I75" i="5" s="1"/>
  <c r="F75" i="5"/>
  <c r="J74" i="5"/>
  <c r="I74" i="5" s="1"/>
  <c r="F74" i="5"/>
  <c r="J73" i="5"/>
  <c r="I73" i="5" s="1"/>
  <c r="F73" i="5"/>
  <c r="J72" i="5"/>
  <c r="I72" i="5" s="1"/>
  <c r="F72" i="5"/>
  <c r="J71" i="5"/>
  <c r="I71" i="5" s="1"/>
  <c r="F71" i="5"/>
  <c r="J70" i="5"/>
  <c r="I70" i="5"/>
  <c r="F70" i="5"/>
  <c r="J69" i="5"/>
  <c r="I69" i="5"/>
  <c r="F69" i="5"/>
  <c r="J68" i="5"/>
  <c r="I68" i="5" s="1"/>
  <c r="F68" i="5"/>
  <c r="J67" i="5"/>
  <c r="I67" i="5"/>
  <c r="F67" i="5"/>
  <c r="J66" i="5"/>
  <c r="I66" i="5"/>
  <c r="F66" i="5"/>
  <c r="J65" i="5"/>
  <c r="I65" i="5" s="1"/>
  <c r="F65" i="5"/>
  <c r="J64" i="5"/>
  <c r="I64" i="5"/>
  <c r="F64" i="5"/>
  <c r="J63" i="5"/>
  <c r="I63" i="5"/>
  <c r="F63" i="5"/>
  <c r="J62" i="5"/>
  <c r="I62" i="5" s="1"/>
  <c r="F62" i="5"/>
  <c r="J61" i="5"/>
  <c r="I61" i="5" s="1"/>
  <c r="F61" i="5"/>
  <c r="J60" i="5"/>
  <c r="I60" i="5" s="1"/>
  <c r="F60" i="5"/>
  <c r="J59" i="5"/>
  <c r="I59" i="5" s="1"/>
  <c r="F59" i="5"/>
  <c r="J58" i="5"/>
  <c r="I58" i="5" s="1"/>
  <c r="F58" i="5"/>
  <c r="J57" i="5"/>
  <c r="I57" i="5" s="1"/>
  <c r="F57" i="5"/>
  <c r="J56" i="5"/>
  <c r="I56" i="5" s="1"/>
  <c r="F56" i="5"/>
  <c r="J55" i="5"/>
  <c r="I55" i="5" s="1"/>
  <c r="F55" i="5"/>
  <c r="J54" i="5"/>
  <c r="I54" i="5" s="1"/>
  <c r="F54" i="5"/>
  <c r="J53" i="5"/>
  <c r="I53" i="5"/>
  <c r="F53" i="5"/>
  <c r="J52" i="5"/>
  <c r="I52" i="5" s="1"/>
  <c r="F52" i="5"/>
  <c r="J51" i="5"/>
  <c r="I51" i="5" s="1"/>
  <c r="F51" i="5"/>
  <c r="J50" i="5"/>
  <c r="I50" i="5"/>
  <c r="F50" i="5"/>
  <c r="J49" i="5"/>
  <c r="I49" i="5" s="1"/>
  <c r="F49" i="5"/>
  <c r="J48" i="5"/>
  <c r="I48" i="5" s="1"/>
  <c r="F48" i="5"/>
  <c r="J47" i="5"/>
  <c r="I47" i="5" s="1"/>
  <c r="F47" i="5"/>
  <c r="J46" i="5"/>
  <c r="I46" i="5"/>
  <c r="F46" i="5"/>
  <c r="J45" i="5"/>
  <c r="I45" i="5" s="1"/>
  <c r="F45" i="5"/>
  <c r="J44" i="5"/>
  <c r="I44" i="5" s="1"/>
  <c r="F44" i="5"/>
  <c r="J43" i="5"/>
  <c r="I43" i="5"/>
  <c r="F43" i="5"/>
  <c r="J42" i="5"/>
  <c r="I42" i="5" s="1"/>
  <c r="F42" i="5"/>
  <c r="J41" i="5"/>
  <c r="I41" i="5" s="1"/>
  <c r="F41" i="5"/>
  <c r="J40" i="5"/>
  <c r="I40" i="5"/>
  <c r="F40" i="5"/>
  <c r="J39" i="5"/>
  <c r="I39" i="5" s="1"/>
  <c r="F39" i="5"/>
  <c r="J38" i="5"/>
  <c r="I38" i="5"/>
  <c r="F38" i="5"/>
  <c r="J37" i="5"/>
  <c r="I37" i="5"/>
  <c r="F37" i="5"/>
  <c r="J36" i="5"/>
  <c r="I36" i="5" s="1"/>
  <c r="F36" i="5"/>
  <c r="J35" i="5"/>
  <c r="I35" i="5" s="1"/>
  <c r="F35" i="5"/>
  <c r="J34" i="5"/>
  <c r="I34" i="5"/>
  <c r="F34" i="5"/>
  <c r="J33" i="5"/>
  <c r="I33" i="5" s="1"/>
  <c r="F33" i="5"/>
  <c r="J32" i="5"/>
  <c r="I32" i="5" s="1"/>
  <c r="F32" i="5"/>
  <c r="J31" i="5"/>
  <c r="I31" i="5"/>
  <c r="F31" i="5"/>
  <c r="J30" i="5"/>
  <c r="I30" i="5"/>
  <c r="F30" i="5"/>
  <c r="J29" i="5"/>
  <c r="I29" i="5" s="1"/>
  <c r="F29" i="5"/>
  <c r="J28" i="5"/>
  <c r="I28" i="5" s="1"/>
  <c r="F28" i="5"/>
  <c r="J27" i="5"/>
  <c r="I27" i="5"/>
  <c r="F27" i="5"/>
  <c r="J26" i="5"/>
  <c r="I26" i="5" s="1"/>
  <c r="F26" i="5"/>
  <c r="J25" i="5"/>
  <c r="I25" i="5" s="1"/>
  <c r="F25" i="5"/>
  <c r="J24" i="5"/>
  <c r="I24" i="5"/>
  <c r="F24" i="5"/>
  <c r="J23" i="5"/>
  <c r="I23" i="5" s="1"/>
  <c r="F23" i="5"/>
  <c r="J22" i="5"/>
  <c r="I22" i="5" s="1"/>
  <c r="F22" i="5"/>
  <c r="J21" i="5"/>
  <c r="I21" i="5"/>
  <c r="F21" i="5"/>
  <c r="J20" i="5"/>
  <c r="I20" i="5" s="1"/>
  <c r="F20" i="5"/>
  <c r="J19" i="5"/>
  <c r="I19" i="5" s="1"/>
  <c r="F19" i="5"/>
  <c r="J18" i="5"/>
  <c r="I18" i="5" s="1"/>
  <c r="F18" i="5"/>
  <c r="J17" i="5"/>
  <c r="I17" i="5" s="1"/>
  <c r="F17" i="5"/>
  <c r="J16" i="5"/>
  <c r="I16" i="5" s="1"/>
  <c r="F16" i="5"/>
  <c r="J15" i="5"/>
  <c r="I15" i="5" s="1"/>
  <c r="F15" i="5"/>
  <c r="J14" i="5"/>
  <c r="I14" i="5" s="1"/>
  <c r="F14" i="5"/>
  <c r="J13" i="5"/>
  <c r="I13" i="5" s="1"/>
  <c r="F13" i="5"/>
  <c r="J12" i="5"/>
  <c r="I12" i="5" s="1"/>
  <c r="F12" i="5"/>
  <c r="J11" i="5"/>
  <c r="I11" i="5" s="1"/>
  <c r="F11" i="5"/>
  <c r="J10" i="5"/>
  <c r="I10" i="5" s="1"/>
  <c r="F10" i="5"/>
  <c r="J9" i="5"/>
  <c r="I9" i="5" s="1"/>
  <c r="F9" i="5"/>
  <c r="J8" i="5"/>
  <c r="I8" i="5" s="1"/>
  <c r="F8" i="5"/>
  <c r="J7" i="3"/>
  <c r="G7" i="3"/>
  <c r="G82" i="3"/>
  <c r="G144" i="3"/>
  <c r="G195" i="3"/>
  <c r="F82" i="3"/>
  <c r="F144" i="3"/>
  <c r="J161" i="3"/>
  <c r="J162" i="3"/>
  <c r="J163" i="3"/>
  <c r="J164" i="3"/>
  <c r="I164" i="3" s="1"/>
  <c r="J165" i="3"/>
  <c r="I165" i="3" s="1"/>
  <c r="J166" i="3"/>
  <c r="I166" i="3" s="1"/>
  <c r="J167" i="3"/>
  <c r="I167" i="3" s="1"/>
  <c r="J168" i="3"/>
  <c r="I168" i="3" s="1"/>
  <c r="J169" i="3"/>
  <c r="J170" i="3"/>
  <c r="J171" i="3"/>
  <c r="J172" i="3"/>
  <c r="I172" i="3" s="1"/>
  <c r="J173" i="3"/>
  <c r="I173" i="3" s="1"/>
  <c r="J174" i="3"/>
  <c r="I174" i="3" s="1"/>
  <c r="J175" i="3"/>
  <c r="I175" i="3" s="1"/>
  <c r="J176" i="3"/>
  <c r="I176" i="3" s="1"/>
  <c r="J177" i="3"/>
  <c r="I177" i="3" s="1"/>
  <c r="J178" i="3"/>
  <c r="J179" i="3"/>
  <c r="J180" i="3"/>
  <c r="I180" i="3" s="1"/>
  <c r="J181" i="3"/>
  <c r="I181" i="3" s="1"/>
  <c r="J182" i="3"/>
  <c r="I182" i="3" s="1"/>
  <c r="J183" i="3"/>
  <c r="I183" i="3" s="1"/>
  <c r="J184" i="3"/>
  <c r="I184" i="3" s="1"/>
  <c r="J185" i="3"/>
  <c r="J186" i="3"/>
  <c r="J187" i="3"/>
  <c r="I187" i="3" s="1"/>
  <c r="J188" i="3"/>
  <c r="I188" i="3" s="1"/>
  <c r="J189" i="3"/>
  <c r="I189" i="3" s="1"/>
  <c r="J190" i="3"/>
  <c r="I190" i="3" s="1"/>
  <c r="J191" i="3"/>
  <c r="I191" i="3" s="1"/>
  <c r="J192" i="3"/>
  <c r="I192" i="3" s="1"/>
  <c r="J193" i="3"/>
  <c r="J194" i="3"/>
  <c r="J195" i="3"/>
  <c r="I195" i="3" s="1"/>
  <c r="J196" i="3"/>
  <c r="I196" i="3" s="1"/>
  <c r="J197" i="3"/>
  <c r="I197" i="3" s="1"/>
  <c r="J198" i="3"/>
  <c r="I198" i="3" s="1"/>
  <c r="J199" i="3"/>
  <c r="I199" i="3" s="1"/>
  <c r="J200" i="3"/>
  <c r="I200" i="3" s="1"/>
  <c r="J201" i="3"/>
  <c r="I201" i="3" s="1"/>
  <c r="J202" i="3"/>
  <c r="J203" i="3"/>
  <c r="J204" i="3"/>
  <c r="I204" i="3" s="1"/>
  <c r="J205" i="3"/>
  <c r="I205" i="3" s="1"/>
  <c r="J206" i="3"/>
  <c r="I206" i="3" s="1"/>
  <c r="J207" i="3"/>
  <c r="I207" i="3" s="1"/>
  <c r="J208" i="3"/>
  <c r="I208" i="3" s="1"/>
  <c r="J209" i="3"/>
  <c r="J210" i="3"/>
  <c r="J211" i="3"/>
  <c r="I211" i="3" s="1"/>
  <c r="J212" i="3"/>
  <c r="I212" i="3" s="1"/>
  <c r="J213" i="3"/>
  <c r="I213" i="3" s="1"/>
  <c r="J214" i="3"/>
  <c r="I214" i="3" s="1"/>
  <c r="J215" i="3"/>
  <c r="I215" i="3" s="1"/>
  <c r="J216" i="3"/>
  <c r="I216" i="3" s="1"/>
  <c r="J217" i="3"/>
  <c r="J218" i="3"/>
  <c r="J219" i="3"/>
  <c r="J220" i="3"/>
  <c r="I220" i="3" s="1"/>
  <c r="J221" i="3"/>
  <c r="I221" i="3" s="1"/>
  <c r="J222" i="3"/>
  <c r="I222" i="3" s="1"/>
  <c r="J223" i="3"/>
  <c r="I223" i="3" s="1"/>
  <c r="J224" i="3"/>
  <c r="I224" i="3" s="1"/>
  <c r="J225" i="3"/>
  <c r="I225" i="3" s="1"/>
  <c r="J226" i="3"/>
  <c r="J227" i="3"/>
  <c r="J228" i="3"/>
  <c r="I228" i="3" s="1"/>
  <c r="J229" i="3"/>
  <c r="I229" i="3" s="1"/>
  <c r="I161" i="3"/>
  <c r="I162" i="3"/>
  <c r="I163" i="3"/>
  <c r="I169" i="3"/>
  <c r="I170" i="3"/>
  <c r="I171" i="3"/>
  <c r="I178" i="3"/>
  <c r="I179" i="3"/>
  <c r="I185" i="3"/>
  <c r="I186" i="3"/>
  <c r="I193" i="3"/>
  <c r="I194" i="3"/>
  <c r="I202" i="3"/>
  <c r="I203" i="3"/>
  <c r="I209" i="3"/>
  <c r="I210" i="3"/>
  <c r="I217" i="3"/>
  <c r="I218" i="3"/>
  <c r="I219" i="3"/>
  <c r="I226" i="3"/>
  <c r="I227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J145" i="3"/>
  <c r="J146" i="3"/>
  <c r="I146" i="3" s="1"/>
  <c r="J147" i="3"/>
  <c r="J148" i="3"/>
  <c r="J149" i="3"/>
  <c r="J150" i="3"/>
  <c r="J151" i="3"/>
  <c r="I151" i="3" s="1"/>
  <c r="J152" i="3"/>
  <c r="I152" i="3" s="1"/>
  <c r="J153" i="3"/>
  <c r="I153" i="3" s="1"/>
  <c r="J154" i="3"/>
  <c r="I154" i="3" s="1"/>
  <c r="J155" i="3"/>
  <c r="I155" i="3" s="1"/>
  <c r="J156" i="3"/>
  <c r="I156" i="3" s="1"/>
  <c r="J157" i="3"/>
  <c r="I157" i="3" s="1"/>
  <c r="J158" i="3"/>
  <c r="J159" i="3"/>
  <c r="I159" i="3" s="1"/>
  <c r="J160" i="3"/>
  <c r="I160" i="3" s="1"/>
  <c r="I145" i="3"/>
  <c r="I147" i="3"/>
  <c r="I148" i="3"/>
  <c r="I149" i="3"/>
  <c r="I150" i="3"/>
  <c r="I158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J142" i="3"/>
  <c r="I142" i="3" s="1"/>
  <c r="J143" i="3"/>
  <c r="I143" i="3" s="1"/>
  <c r="F142" i="3"/>
  <c r="F143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I78" i="3" s="1"/>
  <c r="J79" i="3"/>
  <c r="I79" i="3" s="1"/>
  <c r="J80" i="3"/>
  <c r="J81" i="3"/>
  <c r="I81" i="3" s="1"/>
  <c r="J83" i="3"/>
  <c r="I83" i="3" s="1"/>
  <c r="J84" i="3"/>
  <c r="I84" i="3" s="1"/>
  <c r="J85" i="3"/>
  <c r="I85" i="3" s="1"/>
  <c r="J86" i="3"/>
  <c r="I86" i="3" s="1"/>
  <c r="J87" i="3"/>
  <c r="I87" i="3" s="1"/>
  <c r="J88" i="3"/>
  <c r="I88" i="3" s="1"/>
  <c r="J89" i="3"/>
  <c r="I89" i="3" s="1"/>
  <c r="J90" i="3"/>
  <c r="J91" i="3"/>
  <c r="I91" i="3" s="1"/>
  <c r="J92" i="3"/>
  <c r="I92" i="3" s="1"/>
  <c r="J93" i="3"/>
  <c r="I93" i="3" s="1"/>
  <c r="J94" i="3"/>
  <c r="J95" i="3"/>
  <c r="I95" i="3" s="1"/>
  <c r="J96" i="3"/>
  <c r="I96" i="3" s="1"/>
  <c r="J97" i="3"/>
  <c r="I97" i="3" s="1"/>
  <c r="J98" i="3"/>
  <c r="J99" i="3"/>
  <c r="J100" i="3"/>
  <c r="I100" i="3" s="1"/>
  <c r="J101" i="3"/>
  <c r="J102" i="3"/>
  <c r="I102" i="3" s="1"/>
  <c r="J103" i="3"/>
  <c r="I103" i="3" s="1"/>
  <c r="J104" i="3"/>
  <c r="I104" i="3" s="1"/>
  <c r="J105" i="3"/>
  <c r="J106" i="3"/>
  <c r="I106" i="3" s="1"/>
  <c r="J107" i="3"/>
  <c r="I107" i="3" s="1"/>
  <c r="J108" i="3"/>
  <c r="I108" i="3" s="1"/>
  <c r="J109" i="3"/>
  <c r="I109" i="3" s="1"/>
  <c r="J110" i="3"/>
  <c r="I110" i="3" s="1"/>
  <c r="J111" i="3"/>
  <c r="I111" i="3" s="1"/>
  <c r="J112" i="3"/>
  <c r="I112" i="3" s="1"/>
  <c r="J113" i="3"/>
  <c r="I113" i="3" s="1"/>
  <c r="J114" i="3"/>
  <c r="I114" i="3" s="1"/>
  <c r="J115" i="3"/>
  <c r="I115" i="3" s="1"/>
  <c r="J116" i="3"/>
  <c r="I116" i="3" s="1"/>
  <c r="J117" i="3"/>
  <c r="J118" i="3"/>
  <c r="I118" i="3" s="1"/>
  <c r="J119" i="3"/>
  <c r="I119" i="3" s="1"/>
  <c r="J120" i="3"/>
  <c r="I120" i="3" s="1"/>
  <c r="J121" i="3"/>
  <c r="I121" i="3" s="1"/>
  <c r="J122" i="3"/>
  <c r="I122" i="3" s="1"/>
  <c r="J123" i="3"/>
  <c r="J124" i="3"/>
  <c r="I124" i="3" s="1"/>
  <c r="J125" i="3"/>
  <c r="I125" i="3" s="1"/>
  <c r="J126" i="3"/>
  <c r="I126" i="3" s="1"/>
  <c r="J127" i="3"/>
  <c r="I127" i="3" s="1"/>
  <c r="J128" i="3"/>
  <c r="I128" i="3" s="1"/>
  <c r="J129" i="3"/>
  <c r="I129" i="3" s="1"/>
  <c r="J130" i="3"/>
  <c r="I130" i="3" s="1"/>
  <c r="J131" i="3"/>
  <c r="I131" i="3" s="1"/>
  <c r="J132" i="3"/>
  <c r="I132" i="3" s="1"/>
  <c r="J133" i="3"/>
  <c r="I133" i="3" s="1"/>
  <c r="J134" i="3"/>
  <c r="I134" i="3" s="1"/>
  <c r="J135" i="3"/>
  <c r="I135" i="3" s="1"/>
  <c r="J136" i="3"/>
  <c r="I136" i="3" s="1"/>
  <c r="J137" i="3"/>
  <c r="I137" i="3" s="1"/>
  <c r="J138" i="3"/>
  <c r="I138" i="3" s="1"/>
  <c r="J139" i="3"/>
  <c r="I139" i="3" s="1"/>
  <c r="J140" i="3"/>
  <c r="I140" i="3" s="1"/>
  <c r="J141" i="3"/>
  <c r="I141" i="3" s="1"/>
  <c r="F140" i="3"/>
  <c r="F141" i="3"/>
  <c r="F98" i="3"/>
  <c r="I80" i="3"/>
  <c r="I90" i="3"/>
  <c r="F139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23" i="3"/>
  <c r="F105" i="3"/>
  <c r="F124" i="3"/>
  <c r="F125" i="3"/>
  <c r="F126" i="3"/>
  <c r="F75" i="3"/>
  <c r="F101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4" i="3"/>
  <c r="F103" i="3"/>
  <c r="F102" i="3"/>
  <c r="F100" i="3"/>
  <c r="F99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1" i="3"/>
  <c r="F80" i="3"/>
  <c r="F79" i="3"/>
  <c r="F77" i="3"/>
  <c r="F76" i="3"/>
  <c r="J7" i="5" l="1"/>
  <c r="I7" i="5" s="1"/>
  <c r="J82" i="3"/>
  <c r="J230" i="3" s="1"/>
  <c r="J144" i="3"/>
  <c r="I144" i="3" s="1"/>
  <c r="I94" i="3"/>
  <c r="I98" i="3"/>
  <c r="I99" i="3"/>
  <c r="I77" i="3"/>
  <c r="I105" i="3"/>
  <c r="F78" i="3"/>
  <c r="I117" i="3"/>
  <c r="I82" i="3" l="1"/>
  <c r="I123" i="3"/>
  <c r="I101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J8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" i="3"/>
  <c r="I76" i="3" l="1"/>
  <c r="I8" i="3"/>
  <c r="I60" i="3"/>
  <c r="I59" i="3" l="1"/>
  <c r="I75" i="3"/>
  <c r="I7" i="3" l="1"/>
</calcChain>
</file>

<file path=xl/sharedStrings.xml><?xml version="1.0" encoding="utf-8"?>
<sst xmlns="http://schemas.openxmlformats.org/spreadsheetml/2006/main" count="1508" uniqueCount="310">
  <si>
    <t>Selling Price</t>
  </si>
  <si>
    <t>Discount</t>
  </si>
  <si>
    <t>List Price</t>
  </si>
  <si>
    <t>Hardware</t>
  </si>
  <si>
    <t>Software</t>
  </si>
  <si>
    <t>HW Maintenance</t>
  </si>
  <si>
    <t>SW Maintenance</t>
  </si>
  <si>
    <t>Category</t>
  </si>
  <si>
    <t>Qty</t>
  </si>
  <si>
    <t>Sku</t>
  </si>
  <si>
    <t>Description</t>
  </si>
  <si>
    <t>Parts Only Warranty 36 Months</t>
  </si>
  <si>
    <t>Keep Your Component For Enterprise, 60 Month(s)</t>
  </si>
  <si>
    <t>Same Business Day Onsite Diagnosis Service, 60 Month(s)</t>
  </si>
  <si>
    <t>Line</t>
  </si>
  <si>
    <t>MOD 8200</t>
  </si>
  <si>
    <t>Unit List Price</t>
  </si>
  <si>
    <t>Unit Selling Price</t>
  </si>
  <si>
    <t>1</t>
  </si>
  <si>
    <t>4</t>
  </si>
  <si>
    <t>800-BBQV</t>
  </si>
  <si>
    <t>Informational Purposes Only</t>
  </si>
  <si>
    <t>199-BJZN</t>
  </si>
  <si>
    <t>Prosupport Plus and 4Hr Mission Critical Extension, 24 Month(s)</t>
  </si>
  <si>
    <t>199-BJZR</t>
  </si>
  <si>
    <t>Prosupport Plus and 4Hr Mission Critical Initial, 36 Month(s)</t>
  </si>
  <si>
    <t>711-BBYN</t>
  </si>
  <si>
    <t>151-BBEH</t>
  </si>
  <si>
    <t>HDFS for OneFS ($0.00)</t>
  </si>
  <si>
    <t>487-BDZG</t>
  </si>
  <si>
    <t>ProSupport Plus Additional Software Support-Maintenance, 60 Month(s)</t>
  </si>
  <si>
    <t>929-3709</t>
  </si>
  <si>
    <t>Thank you for Your Order</t>
  </si>
  <si>
    <t>935-6720</t>
  </si>
  <si>
    <t>210-AXWW</t>
  </si>
  <si>
    <t>PowerScale Accessories Base</t>
  </si>
  <si>
    <t>407-BCUE</t>
  </si>
  <si>
    <t>Switch Side, Transceiver, 100GbE QSFP28 SR4, No FEC Capable, MPO, MMF</t>
  </si>
  <si>
    <t>2x25GbE (SFP28) Back-end W/O OPTICS</t>
  </si>
  <si>
    <t>2x25GbE (SFP28) W/O OPTICS</t>
  </si>
  <si>
    <t>407-BCIU</t>
  </si>
  <si>
    <t>Transceivers/Optic/SFP+/SR/10GbE/2 GEN6</t>
  </si>
  <si>
    <t>407-BCLU</t>
  </si>
  <si>
    <t>Transceiver/Optic/SFP28/SR/25Gbe/Qty 2</t>
  </si>
  <si>
    <t>709-BDXL</t>
  </si>
  <si>
    <t>130-BBCB</t>
  </si>
  <si>
    <t>487-BEBP</t>
  </si>
  <si>
    <t>ProSupport Plus OneFS Hybrid Software Support-Maintenance, 60 Month(s)</t>
  </si>
  <si>
    <t>210-AYYS</t>
  </si>
  <si>
    <t>Accessories Virtual Base - VI</t>
  </si>
  <si>
    <t>450-AJHN</t>
  </si>
  <si>
    <t>PWCRD KIT for Deep Chassis</t>
  </si>
  <si>
    <t>470-AFFZ</t>
  </si>
  <si>
    <t>100G to 25G Breakout (4)SFP28 to (1)Q28 DAC 3M</t>
  </si>
  <si>
    <t>379-BDPD</t>
  </si>
  <si>
    <t>ISG Product (info)</t>
  </si>
  <si>
    <t>709-BDXY</t>
  </si>
  <si>
    <t>Total</t>
  </si>
  <si>
    <t>Nissim Peretz</t>
  </si>
  <si>
    <t>883-BBFM</t>
  </si>
  <si>
    <t>Custom Field Deployment</t>
  </si>
  <si>
    <t>PowerScale F710</t>
  </si>
  <si>
    <t>210-BKGH</t>
  </si>
  <si>
    <t>345-BJGM</t>
  </si>
  <si>
    <t>F710 2.5" HDD Drive Carrier</t>
  </si>
  <si>
    <t>345-BJJK</t>
  </si>
  <si>
    <t>154TB (15.36TB x 10) QLC ISE NVMe SSD</t>
  </si>
  <si>
    <t>370-BBMD</t>
  </si>
  <si>
    <t>PowerScale F710 SDPM</t>
  </si>
  <si>
    <t>406-BBTZ</t>
  </si>
  <si>
    <t>FE 2x100GbE w/o Optics - F710</t>
  </si>
  <si>
    <t>540-BDXW</t>
  </si>
  <si>
    <t>BE 2x100GbE w/o Optics - F710</t>
  </si>
  <si>
    <t>540-BDYG</t>
  </si>
  <si>
    <t>F710 SPM1</t>
  </si>
  <si>
    <t>338-CMWL</t>
  </si>
  <si>
    <t>2.6 GHz Processor x2</t>
  </si>
  <si>
    <t>370-BCST</t>
  </si>
  <si>
    <t>512GB 5600 MT/s DIMM Memory</t>
  </si>
  <si>
    <t>370-BBMH</t>
  </si>
  <si>
    <t>PowerScale F710 Memory Components</t>
  </si>
  <si>
    <t>350-BCWL</t>
  </si>
  <si>
    <t>PowerScale F710 Bezel</t>
  </si>
  <si>
    <t>770-BFHJ</t>
  </si>
  <si>
    <t>Rack Rails with CMA (A16)</t>
  </si>
  <si>
    <t>450-BCGR</t>
  </si>
  <si>
    <t>Dual PSU 1400W RDNT</t>
  </si>
  <si>
    <t>450-AJNP</t>
  </si>
  <si>
    <t>C13/C14 US (2M) x2</t>
  </si>
  <si>
    <t>149-BBXX</t>
  </si>
  <si>
    <t>Secure Component Validation License</t>
  </si>
  <si>
    <t>149-BBXY</t>
  </si>
  <si>
    <t>CSV TRIG License</t>
  </si>
  <si>
    <t>149-BBXZ</t>
  </si>
  <si>
    <t>Secure Enterprise Key Management License</t>
  </si>
  <si>
    <t>149-BBYB</t>
  </si>
  <si>
    <t>IDRAC, 16G, Enterprise License</t>
  </si>
  <si>
    <t>750-BBHR</t>
  </si>
  <si>
    <t>F710 Node Hardware</t>
  </si>
  <si>
    <t>750-BBHT</t>
  </si>
  <si>
    <t>F710 Node Hardware Cont</t>
  </si>
  <si>
    <t>329-BKML</t>
  </si>
  <si>
    <t>Motherboard - DAO Only</t>
  </si>
  <si>
    <t>631-BBXZ</t>
  </si>
  <si>
    <t>Production Factory Install - F710</t>
  </si>
  <si>
    <t>461-BBBH</t>
  </si>
  <si>
    <t>Trusted Module Platform</t>
  </si>
  <si>
    <t>623-BBDX</t>
  </si>
  <si>
    <t>IDRAC Random Password</t>
  </si>
  <si>
    <t>340-DMCW</t>
  </si>
  <si>
    <t>PowerScale F710 Shipping</t>
  </si>
  <si>
    <t>379-BFHX</t>
  </si>
  <si>
    <t>Info F710 ISG Product</t>
  </si>
  <si>
    <t>709-BDXW</t>
  </si>
  <si>
    <t>714-BBGC</t>
  </si>
  <si>
    <t>883-BBFN</t>
  </si>
  <si>
    <t>No Field Deployment</t>
  </si>
  <si>
    <t>210-BKHH</t>
  </si>
  <si>
    <t>PowerScale Virtual Base - VP</t>
  </si>
  <si>
    <t>151-BBZD</t>
  </si>
  <si>
    <t>SmartQuotas Base License Bundle=ID</t>
  </si>
  <si>
    <t>151-BBZX</t>
  </si>
  <si>
    <t>Enterprise Advanced Bundle F710=ID</t>
  </si>
  <si>
    <t>151-BCBV</t>
  </si>
  <si>
    <t>SnapShotIQ Base License Bundle=ID</t>
  </si>
  <si>
    <t>151-BCCC</t>
  </si>
  <si>
    <t>SmartConnect Base License Bundle=ID</t>
  </si>
  <si>
    <t>151-BCCL</t>
  </si>
  <si>
    <t>SyncIQ Base License Bundle=ID</t>
  </si>
  <si>
    <t>151-BCCY</t>
  </si>
  <si>
    <t>SmartPools Base License Bundle=ID</t>
  </si>
  <si>
    <t>151-BCBB</t>
  </si>
  <si>
    <t>SmartPools Capacity License Bundle=CB</t>
  </si>
  <si>
    <t>151-BCCK</t>
  </si>
  <si>
    <t>SmartConnect Capacity License Bundle=CB</t>
  </si>
  <si>
    <t>151-BCCR</t>
  </si>
  <si>
    <t>Enterprise Advanced Bundle Capacity F710=CB</t>
  </si>
  <si>
    <t>151-BCCT</t>
  </si>
  <si>
    <t>SnapShotIQ Capacity License Bundle=CB</t>
  </si>
  <si>
    <t>151-BCCZ</t>
  </si>
  <si>
    <t>SmartQuotas Capacity License Bundle=CB</t>
  </si>
  <si>
    <t>151-BCDD</t>
  </si>
  <si>
    <t>SyncIQ Capacity License Bundle=CB</t>
  </si>
  <si>
    <t>151-BCBL</t>
  </si>
  <si>
    <t>SmartDedupe Base License F710=ID</t>
  </si>
  <si>
    <t>151-BCBT</t>
  </si>
  <si>
    <t>SmartDedupe Capacity License F710=CB</t>
  </si>
  <si>
    <t>149-BBXJ</t>
  </si>
  <si>
    <t>OneFS Base License F710 154-614TB=ID</t>
  </si>
  <si>
    <t>149-BBXM</t>
  </si>
  <si>
    <t>OneFS Capacity License F710=CB</t>
  </si>
  <si>
    <t>487-BDZF</t>
  </si>
  <si>
    <t>ProSupport Plus OneFS All-Flash Software Support-Maintenance, 60 Month(s)</t>
  </si>
  <si>
    <t>PowerScale Switches</t>
  </si>
  <si>
    <t>470-AEWZ</t>
  </si>
  <si>
    <t>MPO Type B Crossover Cable, Multi Mode Fiber OM4, 3 Meter</t>
  </si>
  <si>
    <t>407-BCUD</t>
  </si>
  <si>
    <t>Node Side, Dell EMC PowerEdge 100GbE QSFP28 SR4  85C Optic</t>
  </si>
  <si>
    <t>3</t>
  </si>
  <si>
    <t>6</t>
  </si>
  <si>
    <t>15</t>
  </si>
  <si>
    <t>PowerScale A3100</t>
  </si>
  <si>
    <t>210-BQVK</t>
  </si>
  <si>
    <t>A3100 L3 ISE Node</t>
  </si>
  <si>
    <t>400-BTCZ</t>
  </si>
  <si>
    <t>590-TFQM</t>
  </si>
  <si>
    <t>590-TFQJ</t>
  </si>
  <si>
    <t>709-BDXM</t>
  </si>
  <si>
    <t>210-BQWY</t>
  </si>
  <si>
    <t>Base Chassis - Deep A31-Series</t>
  </si>
  <si>
    <t>350-BDGL</t>
  </si>
  <si>
    <t>4U Bezel UDS</t>
  </si>
  <si>
    <t>210-BQVG</t>
  </si>
  <si>
    <t>PowerScale Hybrid Software - VP</t>
  </si>
  <si>
    <t>151-BCLV</t>
  </si>
  <si>
    <t>SmartQuotas Base License Bundle A310/A3100 L3 =ID</t>
  </si>
  <si>
    <t>151-BCMD</t>
  </si>
  <si>
    <t>SyncIQ Base License Bundle A310/A3100 L3 =ID</t>
  </si>
  <si>
    <t>151-BCMG</t>
  </si>
  <si>
    <t>SnapShotIQ Base License Bundle A310/A3100 L3 =ID</t>
  </si>
  <si>
    <t>151-BCMN</t>
  </si>
  <si>
    <t>SmartPools Base License Bundle A310/A3100 L3 =ID</t>
  </si>
  <si>
    <t>151-BCMQ</t>
  </si>
  <si>
    <t>Enterprise Advanced Bundle A310/A3100 L3=ID</t>
  </si>
  <si>
    <t>151-BCHY</t>
  </si>
  <si>
    <t>SmartQuotas Capacity License Bundle A3 Tier 3 L3=CB</t>
  </si>
  <si>
    <t>151-BCJF</t>
  </si>
  <si>
    <t>SmartPools Capacity License Bundle A3 L3=CB</t>
  </si>
  <si>
    <t>151-BCJJ</t>
  </si>
  <si>
    <t>Enterprise Advanced Bundle Capacity A310/A3100 L3=CB</t>
  </si>
  <si>
    <t>151-BCJK</t>
  </si>
  <si>
    <t>SyncIQ Capacity License Bundle A3 L3=CB</t>
  </si>
  <si>
    <t>151-BCJP</t>
  </si>
  <si>
    <t>SnapShotIQ Capacity License Bundle A3 L3=CB</t>
  </si>
  <si>
    <t>151-BCKV</t>
  </si>
  <si>
    <t>SmartDedupe Base License A310/A3100 L3=ID</t>
  </si>
  <si>
    <t>151-BCKC</t>
  </si>
  <si>
    <t>SmartDedupe Capacity License A310/A3100 L3=CB</t>
  </si>
  <si>
    <t>149-BCCW</t>
  </si>
  <si>
    <t>PowerScale H7100</t>
  </si>
  <si>
    <t>210-BQWH</t>
  </si>
  <si>
    <t>H7100 ISE Node</t>
  </si>
  <si>
    <t>400-BTCD</t>
  </si>
  <si>
    <t>590-TFQK</t>
  </si>
  <si>
    <t>2x100GbE (QSFP28) W/O OPTICS</t>
  </si>
  <si>
    <t>590-TFQL</t>
  </si>
  <si>
    <t>2x100GbE (QSFP28) Back-end W/O OPTICS</t>
  </si>
  <si>
    <t>407-BCTC</t>
  </si>
  <si>
    <t>Transceivers/Optic/QSFP28/SR4/100GbE/Qty2</t>
  </si>
  <si>
    <t>210-BQXB</t>
  </si>
  <si>
    <t>Base Chassis - Deep H71-Series</t>
  </si>
  <si>
    <t>151-BCLY</t>
  </si>
  <si>
    <t>SmartPools Base License Bundle H710/H7100 =ID</t>
  </si>
  <si>
    <t>151-BCMF</t>
  </si>
  <si>
    <t>SyncIQ Base License Bundle H710/H7100 =ID</t>
  </si>
  <si>
    <t>151-BCMH</t>
  </si>
  <si>
    <t>Enterprise Advanced Bundle H710/H7100=ID</t>
  </si>
  <si>
    <t>151-BCMJ</t>
  </si>
  <si>
    <t>SmartQuotas Base License Bundle H710/H7100 =ID</t>
  </si>
  <si>
    <t>151-BCMM</t>
  </si>
  <si>
    <t>SnapShotIQ Base License Bundle H710/H7100 =ID</t>
  </si>
  <si>
    <t>151-BCHZ</t>
  </si>
  <si>
    <t>SmartQuotas Capacity License Bundle H7=CB</t>
  </si>
  <si>
    <t>151-BCJD</t>
  </si>
  <si>
    <t>Enterprise Advanced Bundle Capacity H710/H7100=CB</t>
  </si>
  <si>
    <t>151-BCJH</t>
  </si>
  <si>
    <t>SnapShotIQ Capacity License Bundle H7=CB</t>
  </si>
  <si>
    <t>151-BCJL</t>
  </si>
  <si>
    <t>SmartPools Capacity License Bundle H7=CB</t>
  </si>
  <si>
    <t>151-BCJM</t>
  </si>
  <si>
    <t>SyncIQ Capacity License Bundle H7=CB</t>
  </si>
  <si>
    <t>151-BCLK</t>
  </si>
  <si>
    <t>SmartDedupe Base License H710/H7100=ID</t>
  </si>
  <si>
    <t>151-BCKK</t>
  </si>
  <si>
    <t>SmartDedupe Capacity License H710/H7100=CB</t>
  </si>
  <si>
    <t>149-BCCV</t>
  </si>
  <si>
    <t>750-ACGF</t>
  </si>
  <si>
    <t>Node Filler with Deep Sleds</t>
  </si>
  <si>
    <t>407-BCIW</t>
  </si>
  <si>
    <t>IB/100GbE/40GbE MPO to MPO - NO TRANSCEIVER 3M</t>
  </si>
  <si>
    <t>Option A</t>
  </si>
  <si>
    <t>Kirya</t>
  </si>
  <si>
    <t>616</t>
  </si>
  <si>
    <t>40</t>
  </si>
  <si>
    <t>70</t>
  </si>
  <si>
    <t>470-AEWX</t>
  </si>
  <si>
    <t>MPO Type B Crossover Cable, Multi Mode Fiber OM4, 5 Meter</t>
  </si>
  <si>
    <t>30</t>
  </si>
  <si>
    <t>470-AEVZ</t>
  </si>
  <si>
    <t>MPO Type B Crossover Cable, Multi Mode Fiber OM4, 10 Meter</t>
  </si>
  <si>
    <t>14</t>
  </si>
  <si>
    <t>24</t>
  </si>
  <si>
    <t>400-BTDW</t>
  </si>
  <si>
    <t>ISE 400TB (20x20TB)</t>
  </si>
  <si>
    <t>48</t>
  </si>
  <si>
    <t>ISE 800GB SSD - A310/0</t>
  </si>
  <si>
    <t>9600</t>
  </si>
  <si>
    <t>149-BCCY</t>
  </si>
  <si>
    <t>OneFS Base License A310/A3100 12-20TB L3=ID</t>
  </si>
  <si>
    <t>OneFS Capacity A310/A3100 L3=CB</t>
  </si>
  <si>
    <t>12</t>
  </si>
  <si>
    <t>470-AFMR</t>
  </si>
  <si>
    <t>CABLE 100G Q28 to 4x25G SFP28 DAC 5M</t>
  </si>
  <si>
    <t>5</t>
  </si>
  <si>
    <t>10</t>
  </si>
  <si>
    <t>20</t>
  </si>
  <si>
    <t>ISE 7.68TB SSD - A310/0 and H710/0</t>
  </si>
  <si>
    <t>4000</t>
  </si>
  <si>
    <t>149-BCDH</t>
  </si>
  <si>
    <t>OneFS Base License H710/H7100 12-20TB =ID</t>
  </si>
  <si>
    <t>OneFS Capacity H710/H7100=CB</t>
  </si>
  <si>
    <t>210-AWOW</t>
  </si>
  <si>
    <t>Z9264F Dell Networking Switch</t>
  </si>
  <si>
    <t>343-BBQN</t>
  </si>
  <si>
    <t>Z9264 Series User Guide</t>
  </si>
  <si>
    <t>750-ACVW</t>
  </si>
  <si>
    <t>Z9264 Install Kit</t>
  </si>
  <si>
    <t>528-CKSQ</t>
  </si>
  <si>
    <t>OS10 Enterprise Software, Z9264F</t>
  </si>
  <si>
    <t>407-BCJD</t>
  </si>
  <si>
    <t>IB/100GbE/40GbE MPO to MPO - NO TRANSCEIVER 5M</t>
  </si>
  <si>
    <t>470-AEGJ</t>
  </si>
  <si>
    <t>CABLE QSFP28 100Gb Active Optical 3M</t>
  </si>
  <si>
    <t>470-AEGP</t>
  </si>
  <si>
    <t>CABLE QSFP28 100Gb Active Optical 7M</t>
  </si>
  <si>
    <t>470-AEFY</t>
  </si>
  <si>
    <t>CABLE QSFP28 100Gb Active Optical 10M</t>
  </si>
  <si>
    <t>340</t>
  </si>
  <si>
    <t>470-AEGE</t>
  </si>
  <si>
    <t>CABLE QSFP28 100Gb Active Optical 30M</t>
  </si>
  <si>
    <t>C2G-10ft Cat6a Snagless Shielded (STP) Network Patch Cable - Gray</t>
  </si>
  <si>
    <t>A7293737</t>
  </si>
  <si>
    <t>C2G-15ft Cat6a Snagless Shielded (STP) Network Patch Cable - Gray</t>
  </si>
  <si>
    <t>A7293740</t>
  </si>
  <si>
    <t>C2G-30ft Cat6a Snagless Shielded (STP) Network Patch Cable - Black</t>
  </si>
  <si>
    <t>Unknown</t>
  </si>
  <si>
    <t>A7293774</t>
  </si>
  <si>
    <t>Option B</t>
  </si>
  <si>
    <t>7</t>
  </si>
  <si>
    <t>345-BKJP</t>
  </si>
  <si>
    <t>615TB (61.44TB x 10) QLC ISE NVMe SSD</t>
  </si>
  <si>
    <t>623-BBDW</t>
  </si>
  <si>
    <t>IDRAC Legacy Password</t>
  </si>
  <si>
    <t>4305</t>
  </si>
  <si>
    <t>149-BCBG</t>
  </si>
  <si>
    <t>OneFS Base License F710 615-1228TB=ID</t>
  </si>
  <si>
    <t>300</t>
  </si>
  <si>
    <t>470-AEWT</t>
  </si>
  <si>
    <t>100GbE QSFP28 to QSFP28, Active Optical (Optics included) Cable, 30 Meter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</si>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</sst>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_-[$$-409]* #,##0.00_ ;_-[$$-409]* \-#,##0.00\ ;_-[$$-409]* &quot;-&quot;??_ ;_-@_ 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39">
    <xf numFmtId="0" fontId="0" fillId="0" borderId="0" xfId="0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2" borderId="0" xfId="0" applyFont="1" applyFill="1"/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/>
    <xf numFmtId="0" fontId="1" fillId="2" borderId="1" xfId="0" applyFont="1" applyFill="1" applyBorder="1"/>
    <xf numFmtId="0" fontId="0" fillId="6" borderId="0" xfId="0" applyFill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6" fontId="2" fillId="6" borderId="3" xfId="0" applyNumberFormat="1" applyFont="1" applyFill="1" applyBorder="1"/>
    <xf numFmtId="166" fontId="2" fillId="6" borderId="10" xfId="0" applyNumberFormat="1" applyFont="1" applyFill="1" applyBorder="1"/>
    <xf numFmtId="0" fontId="2" fillId="6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</xdr:colOff>
      <xdr:row>2</xdr:row>
      <xdr:rowOff>85725</xdr:rowOff>
    </xdr:to>
    <xdr:pic>
      <xdr:nvPicPr>
        <xdr:cNvPr id="3" name="Picture 2" descr="Dell EMC">
          <a:extLst>
            <a:ext uri="{FF2B5EF4-FFF2-40B4-BE49-F238E27FC236}">
              <a16:creationId xmlns:a16="http://schemas.microsoft.com/office/drawing/2014/main" id="{344C316E-53F2-4046-80FA-95C5A8E1C7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25" b="28910"/>
        <a:stretch/>
      </xdr:blipFill>
      <xdr:spPr bwMode="auto">
        <a:xfrm>
          <a:off x="0" y="0"/>
          <a:ext cx="1372191" cy="453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</xdr:colOff>
      <xdr:row>2</xdr:row>
      <xdr:rowOff>85725</xdr:rowOff>
    </xdr:to>
    <xdr:pic>
      <xdr:nvPicPr>
        <xdr:cNvPr id="2" name="Picture 1" descr="Dell EMC">
          <a:extLst>
            <a:ext uri="{FF2B5EF4-FFF2-40B4-BE49-F238E27FC236}">
              <a16:creationId xmlns:a16="http://schemas.microsoft.com/office/drawing/2014/main" id="{0B148071-7A1A-416E-9B32-3E1F6B78EC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25" b="28910"/>
        <a:stretch/>
      </xdr:blipFill>
      <xdr:spPr bwMode="auto">
        <a:xfrm>
          <a:off x="0" y="0"/>
          <a:ext cx="1384315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4DD8-C66E-4632-A826-E5B9370A5EE3}">
  <dimension ref="A1:AJ230"/>
  <sheetViews>
    <sheetView tabSelected="1" zoomScale="81" zoomScaleNormal="100" workbookViewId="0">
      <selection activeCell="E1" sqref="E1"/>
    </sheetView>
  </sheetViews>
  <sheetFormatPr defaultRowHeight="14.5" x14ac:dyDescent="0.35"/>
  <cols>
    <col min="1" max="1" width="4.453125" style="7" bestFit="1" customWidth="1"/>
    <col min="2" max="2" width="15.36328125" bestFit="1" customWidth="1"/>
    <col min="3" max="3" width="5" style="3" bestFit="1" customWidth="1"/>
    <col min="4" max="4" width="15.81640625" bestFit="1" customWidth="1"/>
    <col min="5" max="5" width="66.1796875" bestFit="1" customWidth="1"/>
    <col min="6" max="6" width="12.81640625" bestFit="1" customWidth="1"/>
    <col min="7" max="7" width="13.90625" bestFit="1" customWidth="1"/>
    <col min="8" max="8" width="8.36328125" bestFit="1" customWidth="1"/>
    <col min="9" max="9" width="15.26953125" bestFit="1" customWidth="1"/>
    <col min="10" max="10" width="22.6328125" bestFit="1" customWidth="1"/>
  </cols>
  <sheetData>
    <row r="1" spans="1:10" x14ac:dyDescent="0.35">
      <c r="D1" s="9" t="s">
        <v>58</v>
      </c>
    </row>
    <row r="2" spans="1:10" x14ac:dyDescent="0.35">
      <c r="D2" s="9" t="s">
        <v>15</v>
      </c>
    </row>
    <row r="4" spans="1:10" x14ac:dyDescent="0.35">
      <c r="B4" s="3" t="s">
        <v>240</v>
      </c>
      <c r="C4" s="5" t="s">
        <v>241</v>
      </c>
      <c r="D4" s="5">
        <v>3000200033451.1001</v>
      </c>
    </row>
    <row r="6" spans="1:10" x14ac:dyDescent="0.35">
      <c r="A6" s="2" t="s">
        <v>14</v>
      </c>
      <c r="B6" s="23" t="s">
        <v>7</v>
      </c>
      <c r="C6" s="4" t="s">
        <v>8</v>
      </c>
      <c r="D6" s="4" t="s">
        <v>9</v>
      </c>
      <c r="E6" s="1" t="s">
        <v>10</v>
      </c>
      <c r="F6" s="10" t="s">
        <v>16</v>
      </c>
      <c r="G6" s="4" t="s">
        <v>2</v>
      </c>
      <c r="H6" s="4" t="s">
        <v>1</v>
      </c>
      <c r="I6" s="10" t="s">
        <v>17</v>
      </c>
      <c r="J6" s="4" t="s">
        <v>0</v>
      </c>
    </row>
    <row r="7" spans="1:10" x14ac:dyDescent="0.35">
      <c r="A7" s="6">
        <v>10</v>
      </c>
      <c r="B7" s="25"/>
      <c r="C7" s="22" t="s">
        <v>19</v>
      </c>
      <c r="D7" s="22"/>
      <c r="E7" s="25" t="s">
        <v>61</v>
      </c>
      <c r="F7" s="11">
        <f>G7/C7</f>
        <v>1425984.4924999999</v>
      </c>
      <c r="G7" s="11">
        <f>SUM(G8:G81)</f>
        <v>5703937.9699999997</v>
      </c>
      <c r="H7" s="12">
        <v>0.86250000000000004</v>
      </c>
      <c r="I7" s="11">
        <f>J7/C7</f>
        <v>196072.86771874991</v>
      </c>
      <c r="J7" s="11">
        <f>SUM(J8:J81)</f>
        <v>784291.47087499965</v>
      </c>
    </row>
    <row r="8" spans="1:10" x14ac:dyDescent="0.35">
      <c r="A8" s="8"/>
      <c r="B8" s="24" t="s">
        <v>3</v>
      </c>
      <c r="C8" s="21" t="s">
        <v>19</v>
      </c>
      <c r="D8" s="21" t="s">
        <v>62</v>
      </c>
      <c r="E8" s="24" t="s">
        <v>61</v>
      </c>
      <c r="F8" s="13">
        <f t="shared" ref="F8:F59" si="0">G8/C8</f>
        <v>8497.5</v>
      </c>
      <c r="G8" s="13">
        <v>33990</v>
      </c>
      <c r="H8" s="14">
        <v>0.86250000000000004</v>
      </c>
      <c r="I8" s="13">
        <f t="shared" ref="I8:I59" si="1">J8/C8</f>
        <v>1168.40625</v>
      </c>
      <c r="J8" s="13">
        <f>G8-G8*H8</f>
        <v>4673.625</v>
      </c>
    </row>
    <row r="9" spans="1:10" x14ac:dyDescent="0.35">
      <c r="A9" s="8"/>
      <c r="B9" s="24" t="s">
        <v>3</v>
      </c>
      <c r="C9" s="21" t="s">
        <v>19</v>
      </c>
      <c r="D9" s="21" t="s">
        <v>20</v>
      </c>
      <c r="E9" s="24" t="s">
        <v>21</v>
      </c>
      <c r="F9" s="13">
        <f t="shared" si="0"/>
        <v>0</v>
      </c>
      <c r="G9" s="13">
        <v>0</v>
      </c>
      <c r="H9" s="14">
        <v>0.86250000000000004</v>
      </c>
      <c r="I9" s="13">
        <f t="shared" si="1"/>
        <v>0</v>
      </c>
      <c r="J9" s="13">
        <f t="shared" ref="J9:J72" si="2">G9-G9*H9</f>
        <v>0</v>
      </c>
    </row>
    <row r="10" spans="1:10" x14ac:dyDescent="0.35">
      <c r="A10" s="8"/>
      <c r="B10" s="24" t="s">
        <v>3</v>
      </c>
      <c r="C10" s="21" t="s">
        <v>19</v>
      </c>
      <c r="D10" s="21" t="s">
        <v>20</v>
      </c>
      <c r="E10" s="24" t="s">
        <v>21</v>
      </c>
      <c r="F10" s="13">
        <f t="shared" si="0"/>
        <v>0</v>
      </c>
      <c r="G10" s="13">
        <v>0</v>
      </c>
      <c r="H10" s="14">
        <v>0.86250000000000004</v>
      </c>
      <c r="I10" s="13">
        <f t="shared" si="1"/>
        <v>0</v>
      </c>
      <c r="J10" s="13">
        <f t="shared" si="2"/>
        <v>0</v>
      </c>
    </row>
    <row r="11" spans="1:10" x14ac:dyDescent="0.35">
      <c r="A11" s="8"/>
      <c r="B11" s="24" t="s">
        <v>3</v>
      </c>
      <c r="C11" s="21" t="s">
        <v>19</v>
      </c>
      <c r="D11" s="21" t="s">
        <v>63</v>
      </c>
      <c r="E11" s="24" t="s">
        <v>64</v>
      </c>
      <c r="F11" s="13">
        <f t="shared" si="0"/>
        <v>0</v>
      </c>
      <c r="G11" s="13">
        <v>0</v>
      </c>
      <c r="H11" s="14">
        <v>0.86250000000000004</v>
      </c>
      <c r="I11" s="13">
        <f t="shared" si="1"/>
        <v>0</v>
      </c>
      <c r="J11" s="13">
        <f t="shared" si="2"/>
        <v>0</v>
      </c>
    </row>
    <row r="12" spans="1:10" x14ac:dyDescent="0.35">
      <c r="A12" s="8"/>
      <c r="B12" s="24" t="s">
        <v>3</v>
      </c>
      <c r="C12" s="21" t="s">
        <v>19</v>
      </c>
      <c r="D12" s="21" t="s">
        <v>65</v>
      </c>
      <c r="E12" s="24" t="s">
        <v>66</v>
      </c>
      <c r="F12" s="13">
        <f t="shared" si="0"/>
        <v>383331.62</v>
      </c>
      <c r="G12" s="13">
        <v>1533326.48</v>
      </c>
      <c r="H12" s="14">
        <v>0.86250000000000004</v>
      </c>
      <c r="I12" s="13">
        <f t="shared" si="1"/>
        <v>52708.097749999957</v>
      </c>
      <c r="J12" s="13">
        <f t="shared" si="2"/>
        <v>210832.39099999983</v>
      </c>
    </row>
    <row r="13" spans="1:10" x14ac:dyDescent="0.35">
      <c r="A13" s="8"/>
      <c r="B13" s="24" t="s">
        <v>3</v>
      </c>
      <c r="C13" s="21" t="s">
        <v>19</v>
      </c>
      <c r="D13" s="21" t="s">
        <v>67</v>
      </c>
      <c r="E13" s="24" t="s">
        <v>68</v>
      </c>
      <c r="F13" s="13">
        <f t="shared" si="0"/>
        <v>8536.2199999999993</v>
      </c>
      <c r="G13" s="13">
        <v>34144.879999999997</v>
      </c>
      <c r="H13" s="14">
        <v>0.86250000000000004</v>
      </c>
      <c r="I13" s="13">
        <f t="shared" si="1"/>
        <v>1173.7302499999996</v>
      </c>
      <c r="J13" s="13">
        <f t="shared" si="2"/>
        <v>4694.9209999999985</v>
      </c>
    </row>
    <row r="14" spans="1:10" x14ac:dyDescent="0.35">
      <c r="A14" s="8"/>
      <c r="B14" s="24" t="s">
        <v>3</v>
      </c>
      <c r="C14" s="21" t="s">
        <v>19</v>
      </c>
      <c r="D14" s="21" t="s">
        <v>69</v>
      </c>
      <c r="E14" s="24" t="s">
        <v>70</v>
      </c>
      <c r="F14" s="13">
        <f t="shared" si="0"/>
        <v>2909.5</v>
      </c>
      <c r="G14" s="13">
        <v>11638</v>
      </c>
      <c r="H14" s="14">
        <v>0.86250000000000004</v>
      </c>
      <c r="I14" s="13">
        <f t="shared" si="1"/>
        <v>400.05625000000009</v>
      </c>
      <c r="J14" s="13">
        <f t="shared" si="2"/>
        <v>1600.2250000000004</v>
      </c>
    </row>
    <row r="15" spans="1:10" x14ac:dyDescent="0.35">
      <c r="A15" s="8"/>
      <c r="B15" s="24" t="s">
        <v>3</v>
      </c>
      <c r="C15" s="21" t="s">
        <v>19</v>
      </c>
      <c r="D15" s="21" t="s">
        <v>71</v>
      </c>
      <c r="E15" s="24" t="s">
        <v>72</v>
      </c>
      <c r="F15" s="13">
        <f t="shared" si="0"/>
        <v>2909.5</v>
      </c>
      <c r="G15" s="13">
        <v>11638</v>
      </c>
      <c r="H15" s="14">
        <v>0.86250000000000004</v>
      </c>
      <c r="I15" s="13">
        <f t="shared" si="1"/>
        <v>400.05625000000009</v>
      </c>
      <c r="J15" s="13">
        <f t="shared" si="2"/>
        <v>1600.2250000000004</v>
      </c>
    </row>
    <row r="16" spans="1:10" x14ac:dyDescent="0.35">
      <c r="A16" s="8"/>
      <c r="B16" s="24" t="s">
        <v>3</v>
      </c>
      <c r="C16" s="21" t="s">
        <v>19</v>
      </c>
      <c r="D16" s="21" t="s">
        <v>73</v>
      </c>
      <c r="E16" s="24" t="s">
        <v>74</v>
      </c>
      <c r="F16" s="13">
        <f t="shared" si="0"/>
        <v>0</v>
      </c>
      <c r="G16" s="13">
        <v>0</v>
      </c>
      <c r="H16" s="14">
        <v>0.86250000000000004</v>
      </c>
      <c r="I16" s="13">
        <f t="shared" si="1"/>
        <v>0</v>
      </c>
      <c r="J16" s="13">
        <f t="shared" si="2"/>
        <v>0</v>
      </c>
    </row>
    <row r="17" spans="1:10" x14ac:dyDescent="0.35">
      <c r="A17" s="8"/>
      <c r="B17" s="24" t="s">
        <v>3</v>
      </c>
      <c r="C17" s="21" t="s">
        <v>19</v>
      </c>
      <c r="D17" s="21" t="s">
        <v>75</v>
      </c>
      <c r="E17" s="24" t="s">
        <v>76</v>
      </c>
      <c r="F17" s="13">
        <f t="shared" si="0"/>
        <v>17789.310000000001</v>
      </c>
      <c r="G17" s="13">
        <v>71157.240000000005</v>
      </c>
      <c r="H17" s="14">
        <v>0.86250000000000004</v>
      </c>
      <c r="I17" s="13">
        <f t="shared" si="1"/>
        <v>2446.0301249999993</v>
      </c>
      <c r="J17" s="13">
        <f t="shared" si="2"/>
        <v>9784.1204999999973</v>
      </c>
    </row>
    <row r="18" spans="1:10" x14ac:dyDescent="0.35">
      <c r="A18" s="8"/>
      <c r="B18" s="24" t="s">
        <v>3</v>
      </c>
      <c r="C18" s="21" t="s">
        <v>19</v>
      </c>
      <c r="D18" s="21" t="s">
        <v>77</v>
      </c>
      <c r="E18" s="24" t="s">
        <v>78</v>
      </c>
      <c r="F18" s="13">
        <f t="shared" si="0"/>
        <v>75832.539999999994</v>
      </c>
      <c r="G18" s="13">
        <v>303330.15999999997</v>
      </c>
      <c r="H18" s="14">
        <v>0.86250000000000004</v>
      </c>
      <c r="I18" s="13">
        <f t="shared" si="1"/>
        <v>10426.974249999999</v>
      </c>
      <c r="J18" s="13">
        <f t="shared" si="2"/>
        <v>41707.896999999997</v>
      </c>
    </row>
    <row r="19" spans="1:10" x14ac:dyDescent="0.35">
      <c r="A19" s="8"/>
      <c r="B19" s="24" t="s">
        <v>3</v>
      </c>
      <c r="C19" s="21" t="s">
        <v>19</v>
      </c>
      <c r="D19" s="21" t="s">
        <v>79</v>
      </c>
      <c r="E19" s="24" t="s">
        <v>80</v>
      </c>
      <c r="F19" s="13">
        <f t="shared" si="0"/>
        <v>0</v>
      </c>
      <c r="G19" s="13">
        <v>0</v>
      </c>
      <c r="H19" s="14">
        <v>0.86250000000000004</v>
      </c>
      <c r="I19" s="13">
        <f t="shared" si="1"/>
        <v>0</v>
      </c>
      <c r="J19" s="13">
        <f t="shared" si="2"/>
        <v>0</v>
      </c>
    </row>
    <row r="20" spans="1:10" x14ac:dyDescent="0.35">
      <c r="A20" s="8"/>
      <c r="B20" s="24" t="s">
        <v>3</v>
      </c>
      <c r="C20" s="21" t="s">
        <v>19</v>
      </c>
      <c r="D20" s="21" t="s">
        <v>81</v>
      </c>
      <c r="E20" s="24" t="s">
        <v>82</v>
      </c>
      <c r="F20" s="13">
        <f t="shared" si="0"/>
        <v>237.46</v>
      </c>
      <c r="G20" s="13">
        <v>949.84</v>
      </c>
      <c r="H20" s="14">
        <v>0.86250000000000004</v>
      </c>
      <c r="I20" s="13">
        <f t="shared" si="1"/>
        <v>32.650749999999988</v>
      </c>
      <c r="J20" s="13">
        <f t="shared" si="2"/>
        <v>130.60299999999995</v>
      </c>
    </row>
    <row r="21" spans="1:10" x14ac:dyDescent="0.35">
      <c r="A21" s="8"/>
      <c r="B21" s="24" t="s">
        <v>3</v>
      </c>
      <c r="C21" s="21" t="s">
        <v>19</v>
      </c>
      <c r="D21" s="21" t="s">
        <v>83</v>
      </c>
      <c r="E21" s="24" t="s">
        <v>84</v>
      </c>
      <c r="F21" s="13">
        <f t="shared" si="0"/>
        <v>0</v>
      </c>
      <c r="G21" s="13">
        <v>0</v>
      </c>
      <c r="H21" s="14">
        <v>0.86250000000000004</v>
      </c>
      <c r="I21" s="13">
        <f t="shared" si="1"/>
        <v>0</v>
      </c>
      <c r="J21" s="13">
        <f t="shared" si="2"/>
        <v>0</v>
      </c>
    </row>
    <row r="22" spans="1:10" x14ac:dyDescent="0.35">
      <c r="A22" s="8"/>
      <c r="B22" s="24" t="s">
        <v>3</v>
      </c>
      <c r="C22" s="21" t="s">
        <v>19</v>
      </c>
      <c r="D22" s="21" t="s">
        <v>85</v>
      </c>
      <c r="E22" s="24" t="s">
        <v>86</v>
      </c>
      <c r="F22" s="13">
        <f t="shared" si="0"/>
        <v>1538.9</v>
      </c>
      <c r="G22" s="13">
        <v>6155.6</v>
      </c>
      <c r="H22" s="14">
        <v>0.86250000000000004</v>
      </c>
      <c r="I22" s="13">
        <f t="shared" si="1"/>
        <v>211.59874999999988</v>
      </c>
      <c r="J22" s="13">
        <f t="shared" si="2"/>
        <v>846.39499999999953</v>
      </c>
    </row>
    <row r="23" spans="1:10" x14ac:dyDescent="0.35">
      <c r="A23" s="8"/>
      <c r="B23" s="24" t="s">
        <v>3</v>
      </c>
      <c r="C23" s="21" t="s">
        <v>19</v>
      </c>
      <c r="D23" s="21" t="s">
        <v>87</v>
      </c>
      <c r="E23" s="24" t="s">
        <v>88</v>
      </c>
      <c r="F23" s="13">
        <f t="shared" si="0"/>
        <v>48.4</v>
      </c>
      <c r="G23" s="13">
        <v>193.6</v>
      </c>
      <c r="H23" s="14">
        <v>0.86250000000000004</v>
      </c>
      <c r="I23" s="13">
        <f t="shared" si="1"/>
        <v>6.6550000000000011</v>
      </c>
      <c r="J23" s="13">
        <f t="shared" si="2"/>
        <v>26.620000000000005</v>
      </c>
    </row>
    <row r="24" spans="1:10" x14ac:dyDescent="0.35">
      <c r="A24" s="8"/>
      <c r="B24" s="24" t="s">
        <v>4</v>
      </c>
      <c r="C24" s="21" t="s">
        <v>19</v>
      </c>
      <c r="D24" s="21" t="s">
        <v>89</v>
      </c>
      <c r="E24" s="24" t="s">
        <v>90</v>
      </c>
      <c r="F24" s="13">
        <f t="shared" si="0"/>
        <v>0</v>
      </c>
      <c r="G24" s="13">
        <v>0</v>
      </c>
      <c r="H24" s="14">
        <v>0.86250000000000004</v>
      </c>
      <c r="I24" s="13">
        <f t="shared" si="1"/>
        <v>0</v>
      </c>
      <c r="J24" s="13">
        <f t="shared" si="2"/>
        <v>0</v>
      </c>
    </row>
    <row r="25" spans="1:10" x14ac:dyDescent="0.35">
      <c r="A25" s="8"/>
      <c r="B25" s="24" t="s">
        <v>4</v>
      </c>
      <c r="C25" s="21" t="s">
        <v>19</v>
      </c>
      <c r="D25" s="21" t="s">
        <v>91</v>
      </c>
      <c r="E25" s="24" t="s">
        <v>92</v>
      </c>
      <c r="F25" s="13">
        <f t="shared" si="0"/>
        <v>0</v>
      </c>
      <c r="G25" s="13">
        <v>0</v>
      </c>
      <c r="H25" s="14">
        <v>0.86250000000000004</v>
      </c>
      <c r="I25" s="13">
        <f t="shared" si="1"/>
        <v>0</v>
      </c>
      <c r="J25" s="13">
        <f t="shared" si="2"/>
        <v>0</v>
      </c>
    </row>
    <row r="26" spans="1:10" x14ac:dyDescent="0.35">
      <c r="A26" s="8"/>
      <c r="B26" s="24" t="s">
        <v>4</v>
      </c>
      <c r="C26" s="21" t="s">
        <v>19</v>
      </c>
      <c r="D26" s="21" t="s">
        <v>93</v>
      </c>
      <c r="E26" s="24" t="s">
        <v>94</v>
      </c>
      <c r="F26" s="13">
        <f t="shared" si="0"/>
        <v>0</v>
      </c>
      <c r="G26" s="13">
        <v>0</v>
      </c>
      <c r="H26" s="14">
        <v>0.86250000000000004</v>
      </c>
      <c r="I26" s="13">
        <f t="shared" si="1"/>
        <v>0</v>
      </c>
      <c r="J26" s="13">
        <f t="shared" si="2"/>
        <v>0</v>
      </c>
    </row>
    <row r="27" spans="1:10" x14ac:dyDescent="0.35">
      <c r="A27" s="8"/>
      <c r="B27" s="24" t="s">
        <v>3</v>
      </c>
      <c r="C27" s="21" t="s">
        <v>19</v>
      </c>
      <c r="D27" s="21" t="s">
        <v>95</v>
      </c>
      <c r="E27" s="24" t="s">
        <v>96</v>
      </c>
      <c r="F27" s="13">
        <f t="shared" si="0"/>
        <v>811.8</v>
      </c>
      <c r="G27" s="13">
        <v>3247.2</v>
      </c>
      <c r="H27" s="14">
        <v>0.86250000000000004</v>
      </c>
      <c r="I27" s="13">
        <f t="shared" si="1"/>
        <v>111.62249999999995</v>
      </c>
      <c r="J27" s="13">
        <f t="shared" si="2"/>
        <v>446.48999999999978</v>
      </c>
    </row>
    <row r="28" spans="1:10" x14ac:dyDescent="0.35">
      <c r="A28" s="8"/>
      <c r="B28" s="24" t="s">
        <v>3</v>
      </c>
      <c r="C28" s="21" t="s">
        <v>19</v>
      </c>
      <c r="D28" s="21" t="s">
        <v>97</v>
      </c>
      <c r="E28" s="24" t="s">
        <v>98</v>
      </c>
      <c r="F28" s="13">
        <f t="shared" si="0"/>
        <v>0</v>
      </c>
      <c r="G28" s="13">
        <v>0</v>
      </c>
      <c r="H28" s="14">
        <v>0.86250000000000004</v>
      </c>
      <c r="I28" s="13">
        <f t="shared" si="1"/>
        <v>0</v>
      </c>
      <c r="J28" s="13">
        <f t="shared" si="2"/>
        <v>0</v>
      </c>
    </row>
    <row r="29" spans="1:10" x14ac:dyDescent="0.35">
      <c r="A29" s="8"/>
      <c r="B29" s="24" t="s">
        <v>3</v>
      </c>
      <c r="C29" s="21" t="s">
        <v>19</v>
      </c>
      <c r="D29" s="21" t="s">
        <v>99</v>
      </c>
      <c r="E29" s="24" t="s">
        <v>100</v>
      </c>
      <c r="F29" s="13">
        <f t="shared" si="0"/>
        <v>0</v>
      </c>
      <c r="G29" s="13">
        <v>0</v>
      </c>
      <c r="H29" s="14">
        <v>0.86250000000000004</v>
      </c>
      <c r="I29" s="13">
        <f t="shared" si="1"/>
        <v>0</v>
      </c>
      <c r="J29" s="13">
        <f t="shared" si="2"/>
        <v>0</v>
      </c>
    </row>
    <row r="30" spans="1:10" x14ac:dyDescent="0.35">
      <c r="A30" s="8"/>
      <c r="B30" s="24" t="s">
        <v>3</v>
      </c>
      <c r="C30" s="21" t="s">
        <v>19</v>
      </c>
      <c r="D30" s="21" t="s">
        <v>101</v>
      </c>
      <c r="E30" s="24" t="s">
        <v>102</v>
      </c>
      <c r="F30" s="13">
        <f t="shared" si="0"/>
        <v>0</v>
      </c>
      <c r="G30" s="13">
        <v>0</v>
      </c>
      <c r="H30" s="14">
        <v>0.86250000000000004</v>
      </c>
      <c r="I30" s="13">
        <f t="shared" si="1"/>
        <v>0</v>
      </c>
      <c r="J30" s="13">
        <f t="shared" si="2"/>
        <v>0</v>
      </c>
    </row>
    <row r="31" spans="1:10" x14ac:dyDescent="0.35">
      <c r="A31" s="8"/>
      <c r="B31" s="24" t="s">
        <v>4</v>
      </c>
      <c r="C31" s="21" t="s">
        <v>19</v>
      </c>
      <c r="D31" s="21" t="s">
        <v>103</v>
      </c>
      <c r="E31" s="24" t="s">
        <v>104</v>
      </c>
      <c r="F31" s="13">
        <f t="shared" si="0"/>
        <v>0</v>
      </c>
      <c r="G31" s="13">
        <v>0</v>
      </c>
      <c r="H31" s="14">
        <v>0.86250000000000004</v>
      </c>
      <c r="I31" s="13">
        <f t="shared" si="1"/>
        <v>0</v>
      </c>
      <c r="J31" s="13">
        <f t="shared" si="2"/>
        <v>0</v>
      </c>
    </row>
    <row r="32" spans="1:10" x14ac:dyDescent="0.35">
      <c r="A32" s="8"/>
      <c r="B32" s="24" t="s">
        <v>3</v>
      </c>
      <c r="C32" s="21" t="s">
        <v>19</v>
      </c>
      <c r="D32" s="21" t="s">
        <v>105</v>
      </c>
      <c r="E32" s="24" t="s">
        <v>106</v>
      </c>
      <c r="F32" s="13">
        <f t="shared" si="0"/>
        <v>0</v>
      </c>
      <c r="G32" s="13">
        <v>0</v>
      </c>
      <c r="H32" s="14">
        <v>0.86250000000000004</v>
      </c>
      <c r="I32" s="13">
        <f t="shared" si="1"/>
        <v>0</v>
      </c>
      <c r="J32" s="13">
        <f t="shared" si="2"/>
        <v>0</v>
      </c>
    </row>
    <row r="33" spans="1:10" x14ac:dyDescent="0.35">
      <c r="A33" s="8"/>
      <c r="B33" s="24" t="s">
        <v>3</v>
      </c>
      <c r="C33" s="21" t="s">
        <v>19</v>
      </c>
      <c r="D33" s="21" t="s">
        <v>107</v>
      </c>
      <c r="E33" s="24" t="s">
        <v>108</v>
      </c>
      <c r="F33" s="13">
        <f t="shared" si="0"/>
        <v>0</v>
      </c>
      <c r="G33" s="13">
        <v>0</v>
      </c>
      <c r="H33" s="14">
        <v>0.86250000000000004</v>
      </c>
      <c r="I33" s="13">
        <f t="shared" si="1"/>
        <v>0</v>
      </c>
      <c r="J33" s="13">
        <f t="shared" si="2"/>
        <v>0</v>
      </c>
    </row>
    <row r="34" spans="1:10" x14ac:dyDescent="0.35">
      <c r="A34" s="8"/>
      <c r="B34" s="24" t="s">
        <v>3</v>
      </c>
      <c r="C34" s="21" t="s">
        <v>19</v>
      </c>
      <c r="D34" s="21" t="s">
        <v>109</v>
      </c>
      <c r="E34" s="24" t="s">
        <v>110</v>
      </c>
      <c r="F34" s="13">
        <f t="shared" si="0"/>
        <v>0</v>
      </c>
      <c r="G34" s="13">
        <v>0</v>
      </c>
      <c r="H34" s="14">
        <v>0.86250000000000004</v>
      </c>
      <c r="I34" s="13">
        <f t="shared" si="1"/>
        <v>0</v>
      </c>
      <c r="J34" s="13">
        <f t="shared" si="2"/>
        <v>0</v>
      </c>
    </row>
    <row r="35" spans="1:10" x14ac:dyDescent="0.35">
      <c r="A35" s="8"/>
      <c r="B35" s="24" t="s">
        <v>3</v>
      </c>
      <c r="C35" s="21" t="s">
        <v>19</v>
      </c>
      <c r="D35" s="21" t="s">
        <v>111</v>
      </c>
      <c r="E35" s="24" t="s">
        <v>112</v>
      </c>
      <c r="F35" s="13">
        <f t="shared" si="0"/>
        <v>0</v>
      </c>
      <c r="G35" s="13">
        <v>0</v>
      </c>
      <c r="H35" s="14">
        <v>0.86250000000000004</v>
      </c>
      <c r="I35" s="13">
        <f t="shared" si="1"/>
        <v>0</v>
      </c>
      <c r="J35" s="13">
        <f t="shared" si="2"/>
        <v>0</v>
      </c>
    </row>
    <row r="36" spans="1:10" x14ac:dyDescent="0.35">
      <c r="A36" s="8"/>
      <c r="B36" s="24" t="s">
        <v>3</v>
      </c>
      <c r="C36" s="21" t="s">
        <v>19</v>
      </c>
      <c r="D36" s="21" t="s">
        <v>20</v>
      </c>
      <c r="E36" s="24" t="s">
        <v>21</v>
      </c>
      <c r="F36" s="13">
        <f t="shared" si="0"/>
        <v>0</v>
      </c>
      <c r="G36" s="13">
        <v>0</v>
      </c>
      <c r="H36" s="14">
        <v>0.86250000000000004</v>
      </c>
      <c r="I36" s="13">
        <f t="shared" si="1"/>
        <v>0</v>
      </c>
      <c r="J36" s="13">
        <f t="shared" si="2"/>
        <v>0</v>
      </c>
    </row>
    <row r="37" spans="1:10" x14ac:dyDescent="0.35">
      <c r="A37" s="8"/>
      <c r="B37" s="24" t="s">
        <v>3</v>
      </c>
      <c r="C37" s="21" t="s">
        <v>19</v>
      </c>
      <c r="D37" s="21" t="s">
        <v>20</v>
      </c>
      <c r="E37" s="24" t="s">
        <v>21</v>
      </c>
      <c r="F37" s="13">
        <f t="shared" si="0"/>
        <v>0</v>
      </c>
      <c r="G37" s="13">
        <v>0</v>
      </c>
      <c r="H37" s="14">
        <v>0.86250000000000004</v>
      </c>
      <c r="I37" s="13">
        <f t="shared" si="1"/>
        <v>0</v>
      </c>
      <c r="J37" s="13">
        <f t="shared" si="2"/>
        <v>0</v>
      </c>
    </row>
    <row r="38" spans="1:10" x14ac:dyDescent="0.35">
      <c r="A38" s="8"/>
      <c r="B38" s="24" t="s">
        <v>5</v>
      </c>
      <c r="C38" s="21" t="s">
        <v>19</v>
      </c>
      <c r="D38" s="21" t="s">
        <v>113</v>
      </c>
      <c r="E38" s="24" t="s">
        <v>11</v>
      </c>
      <c r="F38" s="13">
        <f t="shared" si="0"/>
        <v>0.02</v>
      </c>
      <c r="G38" s="13">
        <v>0.08</v>
      </c>
      <c r="H38" s="14">
        <v>0.86250000000000004</v>
      </c>
      <c r="I38" s="13">
        <f t="shared" si="1"/>
        <v>2.749999999999999E-3</v>
      </c>
      <c r="J38" s="13">
        <f t="shared" si="2"/>
        <v>1.0999999999999996E-2</v>
      </c>
    </row>
    <row r="39" spans="1:10" x14ac:dyDescent="0.35">
      <c r="A39" s="8"/>
      <c r="B39" s="24" t="s">
        <v>5</v>
      </c>
      <c r="C39" s="21" t="s">
        <v>19</v>
      </c>
      <c r="D39" s="21" t="s">
        <v>22</v>
      </c>
      <c r="E39" s="24" t="s">
        <v>23</v>
      </c>
      <c r="F39" s="13">
        <f t="shared" si="0"/>
        <v>106350.53</v>
      </c>
      <c r="G39" s="13">
        <v>425402.12</v>
      </c>
      <c r="H39" s="14">
        <v>0.86250000000000004</v>
      </c>
      <c r="I39" s="13">
        <f t="shared" si="1"/>
        <v>14623.197874999998</v>
      </c>
      <c r="J39" s="13">
        <f t="shared" si="2"/>
        <v>58492.791499999992</v>
      </c>
    </row>
    <row r="40" spans="1:10" x14ac:dyDescent="0.35">
      <c r="A40" s="8"/>
      <c r="B40" s="24" t="s">
        <v>5</v>
      </c>
      <c r="C40" s="21" t="s">
        <v>19</v>
      </c>
      <c r="D40" s="21" t="s">
        <v>24</v>
      </c>
      <c r="E40" s="24" t="s">
        <v>25</v>
      </c>
      <c r="F40" s="13">
        <f t="shared" si="0"/>
        <v>129371.43</v>
      </c>
      <c r="G40" s="13">
        <v>517485.72</v>
      </c>
      <c r="H40" s="14">
        <v>0.86250000000000004</v>
      </c>
      <c r="I40" s="13">
        <f t="shared" si="1"/>
        <v>17788.571624999997</v>
      </c>
      <c r="J40" s="13">
        <f t="shared" si="2"/>
        <v>71154.286499999987</v>
      </c>
    </row>
    <row r="41" spans="1:10" x14ac:dyDescent="0.35">
      <c r="A41" s="8"/>
      <c r="B41" s="24" t="s">
        <v>5</v>
      </c>
      <c r="C41" s="21" t="s">
        <v>19</v>
      </c>
      <c r="D41" s="21" t="s">
        <v>26</v>
      </c>
      <c r="E41" s="24" t="s">
        <v>12</v>
      </c>
      <c r="F41" s="13">
        <f t="shared" si="0"/>
        <v>92972.01</v>
      </c>
      <c r="G41" s="13">
        <v>371888.04</v>
      </c>
      <c r="H41" s="14">
        <v>0.86250000000000004</v>
      </c>
      <c r="I41" s="13">
        <f t="shared" si="1"/>
        <v>12783.651375000001</v>
      </c>
      <c r="J41" s="13">
        <f t="shared" si="2"/>
        <v>51134.605500000005</v>
      </c>
    </row>
    <row r="42" spans="1:10" x14ac:dyDescent="0.35">
      <c r="A42" s="8"/>
      <c r="B42" s="24" t="s">
        <v>5</v>
      </c>
      <c r="C42" s="21" t="s">
        <v>19</v>
      </c>
      <c r="D42" s="21" t="s">
        <v>114</v>
      </c>
      <c r="E42" s="24" t="s">
        <v>13</v>
      </c>
      <c r="F42" s="13">
        <f t="shared" si="0"/>
        <v>31412.720000000001</v>
      </c>
      <c r="G42" s="13">
        <v>125650.88</v>
      </c>
      <c r="H42" s="14">
        <v>0.86250000000000004</v>
      </c>
      <c r="I42" s="13">
        <f t="shared" si="1"/>
        <v>4319.2489999999998</v>
      </c>
      <c r="J42" s="13">
        <f t="shared" si="2"/>
        <v>17276.995999999999</v>
      </c>
    </row>
    <row r="43" spans="1:10" x14ac:dyDescent="0.35">
      <c r="A43" s="8"/>
      <c r="B43" s="24" t="s">
        <v>5</v>
      </c>
      <c r="C43" s="21" t="s">
        <v>19</v>
      </c>
      <c r="D43" s="21" t="s">
        <v>115</v>
      </c>
      <c r="E43" s="24" t="s">
        <v>116</v>
      </c>
      <c r="F43" s="13">
        <f t="shared" si="0"/>
        <v>0</v>
      </c>
      <c r="G43" s="13">
        <v>0</v>
      </c>
      <c r="H43" s="14">
        <v>0.86250000000000004</v>
      </c>
      <c r="I43" s="13">
        <f t="shared" si="1"/>
        <v>0</v>
      </c>
      <c r="J43" s="13">
        <f t="shared" si="2"/>
        <v>0</v>
      </c>
    </row>
    <row r="44" spans="1:10" x14ac:dyDescent="0.35">
      <c r="A44" s="8"/>
      <c r="B44" s="24" t="s">
        <v>4</v>
      </c>
      <c r="C44" s="21" t="s">
        <v>19</v>
      </c>
      <c r="D44" s="21" t="s">
        <v>117</v>
      </c>
      <c r="E44" s="24" t="s">
        <v>118</v>
      </c>
      <c r="F44" s="13">
        <f t="shared" si="0"/>
        <v>0.01</v>
      </c>
      <c r="G44" s="13">
        <v>0.04</v>
      </c>
      <c r="H44" s="14">
        <v>0.86250000000000004</v>
      </c>
      <c r="I44" s="13">
        <f t="shared" si="1"/>
        <v>1.3749999999999995E-3</v>
      </c>
      <c r="J44" s="13">
        <f t="shared" si="2"/>
        <v>5.4999999999999979E-3</v>
      </c>
    </row>
    <row r="45" spans="1:10" x14ac:dyDescent="0.35">
      <c r="A45" s="8"/>
      <c r="B45" s="24" t="s">
        <v>3</v>
      </c>
      <c r="C45" s="21" t="s">
        <v>19</v>
      </c>
      <c r="D45" s="21" t="s">
        <v>20</v>
      </c>
      <c r="E45" s="24" t="s">
        <v>21</v>
      </c>
      <c r="F45" s="13">
        <f t="shared" si="0"/>
        <v>0</v>
      </c>
      <c r="G45" s="13">
        <v>0</v>
      </c>
      <c r="H45" s="14">
        <v>0.86250000000000004</v>
      </c>
      <c r="I45" s="13">
        <f t="shared" si="1"/>
        <v>0</v>
      </c>
      <c r="J45" s="13">
        <f t="shared" si="2"/>
        <v>0</v>
      </c>
    </row>
    <row r="46" spans="1:10" x14ac:dyDescent="0.35">
      <c r="A46" s="8"/>
      <c r="B46" s="24" t="s">
        <v>4</v>
      </c>
      <c r="C46" s="21" t="s">
        <v>19</v>
      </c>
      <c r="D46" s="21" t="s">
        <v>119</v>
      </c>
      <c r="E46" s="24" t="s">
        <v>120</v>
      </c>
      <c r="F46" s="13">
        <f t="shared" si="0"/>
        <v>0</v>
      </c>
      <c r="G46" s="13">
        <v>0</v>
      </c>
      <c r="H46" s="14">
        <v>0.86250000000000004</v>
      </c>
      <c r="I46" s="13">
        <f t="shared" si="1"/>
        <v>0</v>
      </c>
      <c r="J46" s="13">
        <f t="shared" si="2"/>
        <v>0</v>
      </c>
    </row>
    <row r="47" spans="1:10" x14ac:dyDescent="0.35">
      <c r="A47" s="8"/>
      <c r="B47" s="24" t="s">
        <v>4</v>
      </c>
      <c r="C47" s="21" t="s">
        <v>19</v>
      </c>
      <c r="D47" s="21" t="s">
        <v>121</v>
      </c>
      <c r="E47" s="24" t="s">
        <v>122</v>
      </c>
      <c r="F47" s="13">
        <f t="shared" si="0"/>
        <v>15422.69</v>
      </c>
      <c r="G47" s="13">
        <v>61690.76</v>
      </c>
      <c r="H47" s="14">
        <v>0.86250000000000004</v>
      </c>
      <c r="I47" s="13">
        <f t="shared" si="1"/>
        <v>2120.6198749999985</v>
      </c>
      <c r="J47" s="13">
        <f t="shared" si="2"/>
        <v>8482.479499999994</v>
      </c>
    </row>
    <row r="48" spans="1:10" x14ac:dyDescent="0.35">
      <c r="A48" s="8"/>
      <c r="B48" s="24" t="s">
        <v>4</v>
      </c>
      <c r="C48" s="21" t="s">
        <v>19</v>
      </c>
      <c r="D48" s="21" t="s">
        <v>123</v>
      </c>
      <c r="E48" s="24" t="s">
        <v>124</v>
      </c>
      <c r="F48" s="13">
        <f t="shared" si="0"/>
        <v>0</v>
      </c>
      <c r="G48" s="13">
        <v>0</v>
      </c>
      <c r="H48" s="14">
        <v>0.86250000000000004</v>
      </c>
      <c r="I48" s="13">
        <f t="shared" si="1"/>
        <v>0</v>
      </c>
      <c r="J48" s="13">
        <f t="shared" si="2"/>
        <v>0</v>
      </c>
    </row>
    <row r="49" spans="1:10" x14ac:dyDescent="0.35">
      <c r="A49" s="8"/>
      <c r="B49" s="24" t="s">
        <v>4</v>
      </c>
      <c r="C49" s="21" t="s">
        <v>19</v>
      </c>
      <c r="D49" s="21" t="s">
        <v>125</v>
      </c>
      <c r="E49" s="24" t="s">
        <v>126</v>
      </c>
      <c r="F49" s="13">
        <f t="shared" si="0"/>
        <v>0</v>
      </c>
      <c r="G49" s="13">
        <v>0</v>
      </c>
      <c r="H49" s="14">
        <v>0.86250000000000004</v>
      </c>
      <c r="I49" s="13">
        <f t="shared" si="1"/>
        <v>0</v>
      </c>
      <c r="J49" s="13">
        <f t="shared" si="2"/>
        <v>0</v>
      </c>
    </row>
    <row r="50" spans="1:10" x14ac:dyDescent="0.35">
      <c r="A50" s="8"/>
      <c r="B50" s="24" t="s">
        <v>4</v>
      </c>
      <c r="C50" s="21" t="s">
        <v>19</v>
      </c>
      <c r="D50" s="21" t="s">
        <v>127</v>
      </c>
      <c r="E50" s="24" t="s">
        <v>128</v>
      </c>
      <c r="F50" s="13">
        <f t="shared" si="0"/>
        <v>0</v>
      </c>
      <c r="G50" s="13">
        <v>0</v>
      </c>
      <c r="H50" s="14">
        <v>0.86250000000000004</v>
      </c>
      <c r="I50" s="13">
        <f t="shared" si="1"/>
        <v>0</v>
      </c>
      <c r="J50" s="13">
        <f t="shared" si="2"/>
        <v>0</v>
      </c>
    </row>
    <row r="51" spans="1:10" x14ac:dyDescent="0.35">
      <c r="A51" s="8"/>
      <c r="B51" s="24" t="s">
        <v>4</v>
      </c>
      <c r="C51" s="21" t="s">
        <v>19</v>
      </c>
      <c r="D51" s="21" t="s">
        <v>129</v>
      </c>
      <c r="E51" s="24" t="s">
        <v>130</v>
      </c>
      <c r="F51" s="13">
        <f t="shared" si="0"/>
        <v>0</v>
      </c>
      <c r="G51" s="13">
        <v>0</v>
      </c>
      <c r="H51" s="14">
        <v>0.86250000000000004</v>
      </c>
      <c r="I51" s="13">
        <f t="shared" si="1"/>
        <v>0</v>
      </c>
      <c r="J51" s="13">
        <f t="shared" si="2"/>
        <v>0</v>
      </c>
    </row>
    <row r="52" spans="1:10" x14ac:dyDescent="0.35">
      <c r="A52" s="8"/>
      <c r="B52" s="24" t="s">
        <v>4</v>
      </c>
      <c r="C52" s="21" t="s">
        <v>242</v>
      </c>
      <c r="D52" s="21" t="s">
        <v>131</v>
      </c>
      <c r="E52" s="24" t="s">
        <v>132</v>
      </c>
      <c r="F52" s="13">
        <f t="shared" si="0"/>
        <v>0</v>
      </c>
      <c r="G52" s="13">
        <v>0</v>
      </c>
      <c r="H52" s="14">
        <v>0.86250000000000004</v>
      </c>
      <c r="I52" s="13">
        <f t="shared" si="1"/>
        <v>0</v>
      </c>
      <c r="J52" s="13">
        <f t="shared" si="2"/>
        <v>0</v>
      </c>
    </row>
    <row r="53" spans="1:10" x14ac:dyDescent="0.35">
      <c r="A53" s="8"/>
      <c r="B53" s="24" t="s">
        <v>4</v>
      </c>
      <c r="C53" s="21" t="s">
        <v>242</v>
      </c>
      <c r="D53" s="21" t="s">
        <v>133</v>
      </c>
      <c r="E53" s="24" t="s">
        <v>134</v>
      </c>
      <c r="F53" s="13">
        <f t="shared" si="0"/>
        <v>0</v>
      </c>
      <c r="G53" s="13">
        <v>0</v>
      </c>
      <c r="H53" s="14">
        <v>0.86250000000000004</v>
      </c>
      <c r="I53" s="13">
        <f t="shared" si="1"/>
        <v>0</v>
      </c>
      <c r="J53" s="13">
        <f t="shared" si="2"/>
        <v>0</v>
      </c>
    </row>
    <row r="54" spans="1:10" x14ac:dyDescent="0.35">
      <c r="A54" s="8"/>
      <c r="B54" s="24" t="s">
        <v>4</v>
      </c>
      <c r="C54" s="21" t="s">
        <v>242</v>
      </c>
      <c r="D54" s="21" t="s">
        <v>135</v>
      </c>
      <c r="E54" s="24" t="s">
        <v>136</v>
      </c>
      <c r="F54" s="13">
        <f t="shared" si="0"/>
        <v>148.12</v>
      </c>
      <c r="G54" s="13">
        <v>91241.919999999998</v>
      </c>
      <c r="H54" s="14">
        <v>0.86250000000000004</v>
      </c>
      <c r="I54" s="13">
        <f t="shared" si="1"/>
        <v>20.366499999999991</v>
      </c>
      <c r="J54" s="13">
        <f t="shared" si="2"/>
        <v>12545.763999999996</v>
      </c>
    </row>
    <row r="55" spans="1:10" x14ac:dyDescent="0.35">
      <c r="A55" s="8"/>
      <c r="B55" s="24" t="s">
        <v>4</v>
      </c>
      <c r="C55" s="21" t="s">
        <v>242</v>
      </c>
      <c r="D55" s="21" t="s">
        <v>137</v>
      </c>
      <c r="E55" s="24" t="s">
        <v>138</v>
      </c>
      <c r="F55" s="13">
        <f t="shared" si="0"/>
        <v>0</v>
      </c>
      <c r="G55" s="13">
        <v>0</v>
      </c>
      <c r="H55" s="14">
        <v>0.86250000000000004</v>
      </c>
      <c r="I55" s="13">
        <f t="shared" si="1"/>
        <v>0</v>
      </c>
      <c r="J55" s="13">
        <f t="shared" si="2"/>
        <v>0</v>
      </c>
    </row>
    <row r="56" spans="1:10" x14ac:dyDescent="0.35">
      <c r="A56" s="8"/>
      <c r="B56" s="24" t="s">
        <v>4</v>
      </c>
      <c r="C56" s="21" t="s">
        <v>242</v>
      </c>
      <c r="D56" s="21" t="s">
        <v>139</v>
      </c>
      <c r="E56" s="24" t="s">
        <v>140</v>
      </c>
      <c r="F56" s="13">
        <f t="shared" si="0"/>
        <v>0</v>
      </c>
      <c r="G56" s="13">
        <v>0</v>
      </c>
      <c r="H56" s="14">
        <v>0.86250000000000004</v>
      </c>
      <c r="I56" s="13">
        <f t="shared" si="1"/>
        <v>0</v>
      </c>
      <c r="J56" s="13">
        <f t="shared" si="2"/>
        <v>0</v>
      </c>
    </row>
    <row r="57" spans="1:10" x14ac:dyDescent="0.35">
      <c r="A57" s="8"/>
      <c r="B57" s="24" t="s">
        <v>4</v>
      </c>
      <c r="C57" s="21" t="s">
        <v>242</v>
      </c>
      <c r="D57" s="21" t="s">
        <v>141</v>
      </c>
      <c r="E57" s="24" t="s">
        <v>142</v>
      </c>
      <c r="F57" s="13">
        <f t="shared" si="0"/>
        <v>0</v>
      </c>
      <c r="G57" s="13">
        <v>0</v>
      </c>
      <c r="H57" s="14">
        <v>0.86250000000000004</v>
      </c>
      <c r="I57" s="13">
        <f t="shared" si="1"/>
        <v>0</v>
      </c>
      <c r="J57" s="13">
        <f t="shared" si="2"/>
        <v>0</v>
      </c>
    </row>
    <row r="58" spans="1:10" x14ac:dyDescent="0.35">
      <c r="A58" s="8"/>
      <c r="B58" s="24" t="s">
        <v>4</v>
      </c>
      <c r="C58" s="21" t="s">
        <v>19</v>
      </c>
      <c r="D58" s="21" t="s">
        <v>143</v>
      </c>
      <c r="E58" s="24" t="s">
        <v>144</v>
      </c>
      <c r="F58" s="13">
        <f t="shared" si="0"/>
        <v>0</v>
      </c>
      <c r="G58" s="13">
        <v>0</v>
      </c>
      <c r="H58" s="14">
        <v>0.86250000000000004</v>
      </c>
      <c r="I58" s="13">
        <f t="shared" si="1"/>
        <v>0</v>
      </c>
      <c r="J58" s="13">
        <f t="shared" si="2"/>
        <v>0</v>
      </c>
    </row>
    <row r="59" spans="1:10" x14ac:dyDescent="0.35">
      <c r="A59" s="16"/>
      <c r="B59" s="24" t="s">
        <v>4</v>
      </c>
      <c r="C59" s="21" t="s">
        <v>242</v>
      </c>
      <c r="D59" s="21" t="s">
        <v>145</v>
      </c>
      <c r="E59" s="24" t="s">
        <v>146</v>
      </c>
      <c r="F59" s="17">
        <f t="shared" si="0"/>
        <v>0</v>
      </c>
      <c r="G59" s="13">
        <v>0</v>
      </c>
      <c r="H59" s="18">
        <v>0.86250000000000004</v>
      </c>
      <c r="I59" s="17">
        <f t="shared" si="1"/>
        <v>0</v>
      </c>
      <c r="J59" s="17">
        <f t="shared" si="2"/>
        <v>0</v>
      </c>
    </row>
    <row r="60" spans="1:10" x14ac:dyDescent="0.35">
      <c r="A60" s="8"/>
      <c r="B60" s="24" t="s">
        <v>3</v>
      </c>
      <c r="C60" s="21" t="s">
        <v>19</v>
      </c>
      <c r="D60" s="21" t="s">
        <v>20</v>
      </c>
      <c r="E60" s="24" t="s">
        <v>21</v>
      </c>
      <c r="F60" s="13">
        <f t="shared" ref="F60:F75" si="3">G60/C60</f>
        <v>0</v>
      </c>
      <c r="G60" s="13">
        <v>0</v>
      </c>
      <c r="H60" s="14">
        <v>0.86250000000000004</v>
      </c>
      <c r="I60" s="13">
        <f t="shared" ref="I60:I75" si="4">J60/C60</f>
        <v>0</v>
      </c>
      <c r="J60" s="13">
        <f t="shared" si="2"/>
        <v>0</v>
      </c>
    </row>
    <row r="61" spans="1:10" x14ac:dyDescent="0.35">
      <c r="A61" s="8"/>
      <c r="B61" s="24" t="s">
        <v>3</v>
      </c>
      <c r="C61" s="21" t="s">
        <v>19</v>
      </c>
      <c r="D61" s="21" t="s">
        <v>20</v>
      </c>
      <c r="E61" s="24" t="s">
        <v>21</v>
      </c>
      <c r="F61" s="13">
        <f t="shared" si="3"/>
        <v>0</v>
      </c>
      <c r="G61" s="13">
        <v>0</v>
      </c>
      <c r="H61" s="14">
        <v>0.86250000000000004</v>
      </c>
      <c r="I61" s="13">
        <f t="shared" si="4"/>
        <v>0</v>
      </c>
      <c r="J61" s="13">
        <f t="shared" si="2"/>
        <v>0</v>
      </c>
    </row>
    <row r="62" spans="1:10" x14ac:dyDescent="0.35">
      <c r="A62" s="16"/>
      <c r="B62" s="24" t="s">
        <v>4</v>
      </c>
      <c r="C62" s="21" t="s">
        <v>19</v>
      </c>
      <c r="D62" s="21" t="s">
        <v>27</v>
      </c>
      <c r="E62" s="24" t="s">
        <v>28</v>
      </c>
      <c r="F62" s="17">
        <f t="shared" si="3"/>
        <v>0</v>
      </c>
      <c r="G62" s="13">
        <v>0</v>
      </c>
      <c r="H62" s="18">
        <v>0.86250000000000004</v>
      </c>
      <c r="I62" s="17">
        <f t="shared" si="4"/>
        <v>0</v>
      </c>
      <c r="J62" s="17">
        <f t="shared" si="2"/>
        <v>0</v>
      </c>
    </row>
    <row r="63" spans="1:10" x14ac:dyDescent="0.35">
      <c r="A63" s="8"/>
      <c r="B63" s="24" t="s">
        <v>6</v>
      </c>
      <c r="C63" s="21" t="s">
        <v>19</v>
      </c>
      <c r="D63" s="21" t="s">
        <v>29</v>
      </c>
      <c r="E63" s="24" t="s">
        <v>30</v>
      </c>
      <c r="F63" s="13">
        <f t="shared" si="3"/>
        <v>38231.65</v>
      </c>
      <c r="G63" s="13">
        <v>152926.6</v>
      </c>
      <c r="H63" s="14">
        <v>0.86250000000000004</v>
      </c>
      <c r="I63" s="13">
        <f t="shared" si="4"/>
        <v>5256.8518750000003</v>
      </c>
      <c r="J63" s="13">
        <f t="shared" si="2"/>
        <v>21027.407500000001</v>
      </c>
    </row>
    <row r="64" spans="1:10" x14ac:dyDescent="0.35">
      <c r="A64" s="8"/>
      <c r="B64" s="24" t="s">
        <v>4</v>
      </c>
      <c r="C64" s="21" t="s">
        <v>19</v>
      </c>
      <c r="D64" s="21" t="s">
        <v>117</v>
      </c>
      <c r="E64" s="24" t="s">
        <v>118</v>
      </c>
      <c r="F64" s="13">
        <f t="shared" si="3"/>
        <v>0.01</v>
      </c>
      <c r="G64" s="13">
        <v>0.04</v>
      </c>
      <c r="H64" s="14">
        <v>0.86250000000000004</v>
      </c>
      <c r="I64" s="13">
        <f t="shared" si="4"/>
        <v>1.3749999999999995E-3</v>
      </c>
      <c r="J64" s="13">
        <f t="shared" si="2"/>
        <v>5.4999999999999979E-3</v>
      </c>
    </row>
    <row r="65" spans="1:36" x14ac:dyDescent="0.35">
      <c r="A65" s="8"/>
      <c r="B65" s="24" t="s">
        <v>3</v>
      </c>
      <c r="C65" s="21" t="s">
        <v>19</v>
      </c>
      <c r="D65" s="21" t="s">
        <v>20</v>
      </c>
      <c r="E65" s="24" t="s">
        <v>21</v>
      </c>
      <c r="F65" s="13">
        <f t="shared" si="3"/>
        <v>0</v>
      </c>
      <c r="G65" s="13">
        <v>0</v>
      </c>
      <c r="H65" s="14">
        <v>0.86250000000000004</v>
      </c>
      <c r="I65" s="13">
        <f t="shared" si="4"/>
        <v>0</v>
      </c>
      <c r="J65" s="13">
        <f t="shared" si="2"/>
        <v>0</v>
      </c>
    </row>
    <row r="66" spans="1:36" x14ac:dyDescent="0.35">
      <c r="A66" s="8"/>
      <c r="B66" s="24" t="s">
        <v>4</v>
      </c>
      <c r="C66" s="21" t="s">
        <v>19</v>
      </c>
      <c r="D66" s="21" t="s">
        <v>147</v>
      </c>
      <c r="E66" s="24" t="s">
        <v>148</v>
      </c>
      <c r="F66" s="13">
        <f t="shared" si="3"/>
        <v>38734.14</v>
      </c>
      <c r="G66" s="13">
        <v>154936.56</v>
      </c>
      <c r="H66" s="14">
        <v>0.86250000000000004</v>
      </c>
      <c r="I66" s="13">
        <f t="shared" si="4"/>
        <v>5325.9442500000005</v>
      </c>
      <c r="J66" s="13">
        <f t="shared" si="2"/>
        <v>21303.777000000002</v>
      </c>
    </row>
    <row r="67" spans="1:36" x14ac:dyDescent="0.35">
      <c r="A67" s="8"/>
      <c r="B67" s="24" t="s">
        <v>4</v>
      </c>
      <c r="C67" s="21" t="s">
        <v>242</v>
      </c>
      <c r="D67" s="21" t="s">
        <v>149</v>
      </c>
      <c r="E67" s="24" t="s">
        <v>150</v>
      </c>
      <c r="F67" s="13">
        <f t="shared" si="3"/>
        <v>1681.5500000000002</v>
      </c>
      <c r="G67" s="13">
        <v>1035834.8</v>
      </c>
      <c r="H67" s="14">
        <v>0.86250000000000004</v>
      </c>
      <c r="I67" s="13">
        <f t="shared" si="4"/>
        <v>231.21312499999988</v>
      </c>
      <c r="J67" s="13">
        <f t="shared" si="2"/>
        <v>142427.28499999992</v>
      </c>
    </row>
    <row r="68" spans="1:36" x14ac:dyDescent="0.35">
      <c r="A68" s="8"/>
      <c r="B68" s="24" t="s">
        <v>3</v>
      </c>
      <c r="C68" s="21" t="s">
        <v>19</v>
      </c>
      <c r="D68" s="21" t="s">
        <v>20</v>
      </c>
      <c r="E68" s="24" t="s">
        <v>21</v>
      </c>
      <c r="F68" s="13">
        <f t="shared" si="3"/>
        <v>0</v>
      </c>
      <c r="G68" s="13">
        <v>0</v>
      </c>
      <c r="H68" s="14">
        <v>0.86250000000000004</v>
      </c>
      <c r="I68" s="13">
        <f t="shared" si="4"/>
        <v>0</v>
      </c>
      <c r="J68" s="13">
        <f t="shared" si="2"/>
        <v>0</v>
      </c>
    </row>
    <row r="69" spans="1:36" x14ac:dyDescent="0.35">
      <c r="A69" s="8"/>
      <c r="B69" s="24" t="s">
        <v>3</v>
      </c>
      <c r="C69" s="21" t="s">
        <v>19</v>
      </c>
      <c r="D69" s="21" t="s">
        <v>20</v>
      </c>
      <c r="E69" s="24" t="s">
        <v>21</v>
      </c>
      <c r="F69" s="13">
        <f t="shared" si="3"/>
        <v>0</v>
      </c>
      <c r="G69" s="13">
        <v>0</v>
      </c>
      <c r="H69" s="14">
        <v>0.86250000000000004</v>
      </c>
      <c r="I69" s="13">
        <f t="shared" si="4"/>
        <v>0</v>
      </c>
      <c r="J69" s="13">
        <f t="shared" si="2"/>
        <v>0</v>
      </c>
    </row>
    <row r="70" spans="1:36" x14ac:dyDescent="0.35">
      <c r="A70" s="8"/>
      <c r="B70" s="24" t="s">
        <v>3</v>
      </c>
      <c r="C70" s="21" t="s">
        <v>19</v>
      </c>
      <c r="D70" s="21" t="s">
        <v>20</v>
      </c>
      <c r="E70" s="24" t="s">
        <v>21</v>
      </c>
      <c r="F70" s="13">
        <f t="shared" si="3"/>
        <v>0</v>
      </c>
      <c r="G70" s="13">
        <v>0</v>
      </c>
      <c r="H70" s="14">
        <v>0.86250000000000004</v>
      </c>
      <c r="I70" s="13">
        <f t="shared" si="4"/>
        <v>0</v>
      </c>
      <c r="J70" s="13">
        <f t="shared" si="2"/>
        <v>0</v>
      </c>
    </row>
    <row r="71" spans="1:36" x14ac:dyDescent="0.35">
      <c r="A71" s="8"/>
      <c r="B71" s="24" t="s">
        <v>6</v>
      </c>
      <c r="C71" s="21" t="s">
        <v>19</v>
      </c>
      <c r="D71" s="21" t="s">
        <v>151</v>
      </c>
      <c r="E71" s="24" t="s">
        <v>152</v>
      </c>
      <c r="F71" s="13">
        <f t="shared" si="3"/>
        <v>160743.85</v>
      </c>
      <c r="G71" s="13">
        <v>642975.4</v>
      </c>
      <c r="H71" s="14">
        <v>0.86250000000000004</v>
      </c>
      <c r="I71" s="13">
        <f t="shared" si="4"/>
        <v>22102.279374999984</v>
      </c>
      <c r="J71" s="13">
        <f t="shared" si="2"/>
        <v>88409.117499999935</v>
      </c>
    </row>
    <row r="72" spans="1:36" x14ac:dyDescent="0.35">
      <c r="A72" s="16"/>
      <c r="B72" s="24" t="s">
        <v>5</v>
      </c>
      <c r="C72" s="21" t="s">
        <v>19</v>
      </c>
      <c r="D72" s="21" t="s">
        <v>31</v>
      </c>
      <c r="E72" s="24" t="s">
        <v>32</v>
      </c>
      <c r="F72" s="17">
        <f t="shared" si="3"/>
        <v>0</v>
      </c>
      <c r="G72" s="13">
        <v>0</v>
      </c>
      <c r="H72" s="18">
        <v>0.86250000000000004</v>
      </c>
      <c r="I72" s="17">
        <f t="shared" si="4"/>
        <v>0</v>
      </c>
      <c r="J72" s="17">
        <f t="shared" si="2"/>
        <v>0</v>
      </c>
    </row>
    <row r="73" spans="1:36" x14ac:dyDescent="0.35">
      <c r="A73" s="8"/>
      <c r="B73" s="24" t="s">
        <v>5</v>
      </c>
      <c r="C73" s="21" t="s">
        <v>19</v>
      </c>
      <c r="D73" s="21" t="s">
        <v>33</v>
      </c>
      <c r="E73" s="24" t="s">
        <v>32</v>
      </c>
      <c r="F73" s="13">
        <f t="shared" si="3"/>
        <v>0</v>
      </c>
      <c r="G73" s="13">
        <v>0</v>
      </c>
      <c r="H73" s="14">
        <v>0.86250000000000004</v>
      </c>
      <c r="I73" s="13">
        <f t="shared" si="4"/>
        <v>0</v>
      </c>
      <c r="J73" s="13">
        <f t="shared" ref="J73:J126" si="5">G73-G73*H73</f>
        <v>0</v>
      </c>
    </row>
    <row r="74" spans="1:36" x14ac:dyDescent="0.35">
      <c r="A74" s="8"/>
      <c r="B74" s="24" t="s">
        <v>3</v>
      </c>
      <c r="C74" s="21" t="s">
        <v>18</v>
      </c>
      <c r="D74" s="21" t="s">
        <v>34</v>
      </c>
      <c r="E74" s="24" t="s">
        <v>35</v>
      </c>
      <c r="F74" s="13">
        <f t="shared" si="3"/>
        <v>0.01</v>
      </c>
      <c r="G74" s="13">
        <v>0.01</v>
      </c>
      <c r="H74" s="14">
        <v>0.86250000000000004</v>
      </c>
      <c r="I74" s="13">
        <f t="shared" si="4"/>
        <v>1.3749999999999995E-3</v>
      </c>
      <c r="J74" s="13">
        <f t="shared" si="5"/>
        <v>1.3749999999999995E-3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</row>
    <row r="75" spans="1:36" s="15" customFormat="1" x14ac:dyDescent="0.35">
      <c r="A75" s="16"/>
      <c r="B75" s="24" t="s">
        <v>3</v>
      </c>
      <c r="C75" s="21" t="s">
        <v>243</v>
      </c>
      <c r="D75" s="21" t="s">
        <v>154</v>
      </c>
      <c r="E75" s="24" t="s">
        <v>155</v>
      </c>
      <c r="F75" s="17">
        <f t="shared" si="3"/>
        <v>226</v>
      </c>
      <c r="G75" s="13">
        <v>9040</v>
      </c>
      <c r="H75" s="18">
        <v>0.86250000000000004</v>
      </c>
      <c r="I75" s="17">
        <f t="shared" si="4"/>
        <v>31.074999999999999</v>
      </c>
      <c r="J75" s="17">
        <f t="shared" si="5"/>
        <v>1243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</row>
    <row r="76" spans="1:36" x14ac:dyDescent="0.35">
      <c r="A76" s="16"/>
      <c r="B76" s="24" t="s">
        <v>3</v>
      </c>
      <c r="C76" s="21" t="s">
        <v>244</v>
      </c>
      <c r="D76" s="21" t="s">
        <v>245</v>
      </c>
      <c r="E76" s="24" t="s">
        <v>246</v>
      </c>
      <c r="F76" s="17">
        <f>G76/C76</f>
        <v>261</v>
      </c>
      <c r="G76" s="13">
        <v>18270</v>
      </c>
      <c r="H76" s="18">
        <v>0.86250000000000004</v>
      </c>
      <c r="I76" s="17">
        <f>J76/C76</f>
        <v>35.887500000000003</v>
      </c>
      <c r="J76" s="17">
        <f t="shared" si="5"/>
        <v>2512.125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</row>
    <row r="77" spans="1:36" x14ac:dyDescent="0.35">
      <c r="A77" s="8"/>
      <c r="B77" s="24" t="s">
        <v>3</v>
      </c>
      <c r="C77" s="21" t="s">
        <v>247</v>
      </c>
      <c r="D77" s="21" t="s">
        <v>248</v>
      </c>
      <c r="E77" s="24" t="s">
        <v>249</v>
      </c>
      <c r="F77" s="13">
        <f t="shared" ref="F77:F124" si="6">G77/C77</f>
        <v>341</v>
      </c>
      <c r="G77" s="13">
        <v>10230</v>
      </c>
      <c r="H77" s="14">
        <v>0.86250000000000004</v>
      </c>
      <c r="I77" s="13">
        <f t="shared" ref="I77:I124" si="7">J77/C77</f>
        <v>46.887500000000003</v>
      </c>
      <c r="J77" s="13">
        <f t="shared" si="5"/>
        <v>1406.625</v>
      </c>
    </row>
    <row r="78" spans="1:36" x14ac:dyDescent="0.35">
      <c r="A78" s="16"/>
      <c r="B78" s="24" t="s">
        <v>3</v>
      </c>
      <c r="C78" s="21" t="s">
        <v>247</v>
      </c>
      <c r="D78" s="21" t="s">
        <v>156</v>
      </c>
      <c r="E78" s="24" t="s">
        <v>157</v>
      </c>
      <c r="F78" s="17">
        <f t="shared" si="6"/>
        <v>1659</v>
      </c>
      <c r="G78" s="13">
        <v>49770</v>
      </c>
      <c r="H78" s="18">
        <v>0.86250000000000004</v>
      </c>
      <c r="I78" s="17">
        <f t="shared" si="7"/>
        <v>228.11250000000001</v>
      </c>
      <c r="J78" s="17">
        <f t="shared" si="5"/>
        <v>6843.375</v>
      </c>
    </row>
    <row r="79" spans="1:36" x14ac:dyDescent="0.35">
      <c r="A79" s="8"/>
      <c r="B79" s="24" t="s">
        <v>3</v>
      </c>
      <c r="C79" s="21" t="s">
        <v>250</v>
      </c>
      <c r="D79" s="21" t="s">
        <v>36</v>
      </c>
      <c r="E79" s="24" t="s">
        <v>37</v>
      </c>
      <c r="F79" s="13">
        <f t="shared" si="6"/>
        <v>1916</v>
      </c>
      <c r="G79" s="13">
        <v>26824</v>
      </c>
      <c r="H79" s="14">
        <v>0.86250000000000004</v>
      </c>
      <c r="I79" s="13">
        <f t="shared" si="7"/>
        <v>263.44999999999993</v>
      </c>
      <c r="J79" s="13">
        <f t="shared" si="5"/>
        <v>3688.2999999999993</v>
      </c>
    </row>
    <row r="80" spans="1:36" x14ac:dyDescent="0.35">
      <c r="A80" s="8"/>
      <c r="B80" s="24" t="s">
        <v>5</v>
      </c>
      <c r="C80" s="21" t="s">
        <v>18</v>
      </c>
      <c r="D80" s="21" t="s">
        <v>31</v>
      </c>
      <c r="E80" s="24" t="s">
        <v>32</v>
      </c>
      <c r="F80" s="13">
        <f t="shared" si="6"/>
        <v>0</v>
      </c>
      <c r="G80" s="13">
        <v>0</v>
      </c>
      <c r="H80" s="14">
        <v>0.86250000000000004</v>
      </c>
      <c r="I80" s="13">
        <f t="shared" si="7"/>
        <v>0</v>
      </c>
      <c r="J80" s="13">
        <f t="shared" si="5"/>
        <v>0</v>
      </c>
    </row>
    <row r="81" spans="1:10" x14ac:dyDescent="0.35">
      <c r="A81" s="8"/>
      <c r="B81" s="24" t="s">
        <v>5</v>
      </c>
      <c r="C81" s="21" t="s">
        <v>18</v>
      </c>
      <c r="D81" s="21" t="s">
        <v>33</v>
      </c>
      <c r="E81" s="24" t="s">
        <v>32</v>
      </c>
      <c r="F81" s="13">
        <f t="shared" si="6"/>
        <v>0</v>
      </c>
      <c r="G81" s="13">
        <v>0</v>
      </c>
      <c r="H81" s="14">
        <v>0.86250000000000004</v>
      </c>
      <c r="I81" s="13">
        <f t="shared" si="7"/>
        <v>0</v>
      </c>
      <c r="J81" s="13">
        <f t="shared" si="5"/>
        <v>0</v>
      </c>
    </row>
    <row r="82" spans="1:10" x14ac:dyDescent="0.35">
      <c r="A82" s="6">
        <v>20</v>
      </c>
      <c r="B82" s="25"/>
      <c r="C82" s="22" t="s">
        <v>251</v>
      </c>
      <c r="D82" s="22"/>
      <c r="E82" s="25" t="s">
        <v>161</v>
      </c>
      <c r="F82" s="11">
        <f t="shared" si="6"/>
        <v>494762.14625000005</v>
      </c>
      <c r="G82" s="11">
        <f>SUM(G83:G143)</f>
        <v>11874291.510000002</v>
      </c>
      <c r="H82" s="12">
        <v>0.86250000000000004</v>
      </c>
      <c r="I82" s="11">
        <f t="shared" si="7"/>
        <v>68029.795109374987</v>
      </c>
      <c r="J82" s="11">
        <f t="shared" si="5"/>
        <v>1632715.0826249998</v>
      </c>
    </row>
    <row r="83" spans="1:10" x14ac:dyDescent="0.35">
      <c r="A83" s="8"/>
      <c r="B83" s="24" t="s">
        <v>3</v>
      </c>
      <c r="C83" s="21" t="s">
        <v>251</v>
      </c>
      <c r="D83" s="21" t="s">
        <v>162</v>
      </c>
      <c r="E83" s="24" t="s">
        <v>163</v>
      </c>
      <c r="F83" s="13">
        <f t="shared" si="6"/>
        <v>13527.910000000002</v>
      </c>
      <c r="G83" s="13">
        <v>324669.84000000003</v>
      </c>
      <c r="H83" s="14">
        <v>0.86250000000000004</v>
      </c>
      <c r="I83" s="13">
        <f t="shared" si="7"/>
        <v>1860.0876250000001</v>
      </c>
      <c r="J83" s="13">
        <f t="shared" si="5"/>
        <v>44642.103000000003</v>
      </c>
    </row>
    <row r="84" spans="1:10" x14ac:dyDescent="0.35">
      <c r="A84" s="8"/>
      <c r="B84" s="24" t="s">
        <v>3</v>
      </c>
      <c r="C84" s="21" t="s">
        <v>251</v>
      </c>
      <c r="D84" s="21" t="s">
        <v>20</v>
      </c>
      <c r="E84" s="24" t="s">
        <v>21</v>
      </c>
      <c r="F84" s="13">
        <f t="shared" si="6"/>
        <v>0</v>
      </c>
      <c r="G84" s="13">
        <v>0</v>
      </c>
      <c r="H84" s="14">
        <v>0.86250000000000004</v>
      </c>
      <c r="I84" s="13">
        <f t="shared" si="7"/>
        <v>0</v>
      </c>
      <c r="J84" s="13">
        <f t="shared" si="5"/>
        <v>0</v>
      </c>
    </row>
    <row r="85" spans="1:10" x14ac:dyDescent="0.35">
      <c r="A85" s="8"/>
      <c r="B85" s="24" t="s">
        <v>3</v>
      </c>
      <c r="C85" s="21" t="s">
        <v>251</v>
      </c>
      <c r="D85" s="21" t="s">
        <v>20</v>
      </c>
      <c r="E85" s="24" t="s">
        <v>21</v>
      </c>
      <c r="F85" s="13">
        <f t="shared" si="6"/>
        <v>0</v>
      </c>
      <c r="G85" s="13">
        <v>0</v>
      </c>
      <c r="H85" s="14">
        <v>0.86250000000000004</v>
      </c>
      <c r="I85" s="13">
        <f t="shared" si="7"/>
        <v>0</v>
      </c>
      <c r="J85" s="13">
        <f t="shared" si="5"/>
        <v>0</v>
      </c>
    </row>
    <row r="86" spans="1:10" x14ac:dyDescent="0.35">
      <c r="A86" s="8"/>
      <c r="B86" s="24" t="s">
        <v>3</v>
      </c>
      <c r="C86" s="21" t="s">
        <v>251</v>
      </c>
      <c r="D86" s="21" t="s">
        <v>252</v>
      </c>
      <c r="E86" s="24" t="s">
        <v>253</v>
      </c>
      <c r="F86" s="13">
        <f t="shared" si="6"/>
        <v>128481.32</v>
      </c>
      <c r="G86" s="13">
        <v>3083551.68</v>
      </c>
      <c r="H86" s="14">
        <v>0.86250000000000004</v>
      </c>
      <c r="I86" s="13">
        <f t="shared" si="7"/>
        <v>17666.181499999988</v>
      </c>
      <c r="J86" s="13">
        <f t="shared" si="5"/>
        <v>423988.35599999968</v>
      </c>
    </row>
    <row r="87" spans="1:10" x14ac:dyDescent="0.35">
      <c r="A87" s="8"/>
      <c r="B87" s="24" t="s">
        <v>3</v>
      </c>
      <c r="C87" s="21" t="s">
        <v>254</v>
      </c>
      <c r="D87" s="21" t="s">
        <v>164</v>
      </c>
      <c r="E87" s="24" t="s">
        <v>255</v>
      </c>
      <c r="F87" s="13">
        <f t="shared" si="6"/>
        <v>1624.04</v>
      </c>
      <c r="G87" s="13">
        <v>77953.919999999998</v>
      </c>
      <c r="H87" s="14">
        <v>0.86250000000000004</v>
      </c>
      <c r="I87" s="13">
        <f t="shared" si="7"/>
        <v>223.3054999999998</v>
      </c>
      <c r="J87" s="13">
        <f t="shared" si="5"/>
        <v>10718.66399999999</v>
      </c>
    </row>
    <row r="88" spans="1:10" x14ac:dyDescent="0.35">
      <c r="A88" s="8"/>
      <c r="B88" s="24" t="s">
        <v>3</v>
      </c>
      <c r="C88" s="21" t="s">
        <v>251</v>
      </c>
      <c r="D88" s="21" t="s">
        <v>165</v>
      </c>
      <c r="E88" s="24" t="s">
        <v>39</v>
      </c>
      <c r="F88" s="13">
        <f t="shared" si="6"/>
        <v>980</v>
      </c>
      <c r="G88" s="13">
        <v>23520</v>
      </c>
      <c r="H88" s="14">
        <v>0.86250000000000004</v>
      </c>
      <c r="I88" s="13">
        <f t="shared" si="7"/>
        <v>134.75</v>
      </c>
      <c r="J88" s="13">
        <f t="shared" si="5"/>
        <v>3234</v>
      </c>
    </row>
    <row r="89" spans="1:10" x14ac:dyDescent="0.35">
      <c r="A89" s="8"/>
      <c r="B89" s="24" t="s">
        <v>3</v>
      </c>
      <c r="C89" s="21" t="s">
        <v>251</v>
      </c>
      <c r="D89" s="21" t="s">
        <v>166</v>
      </c>
      <c r="E89" s="24" t="s">
        <v>38</v>
      </c>
      <c r="F89" s="13">
        <f t="shared" si="6"/>
        <v>980</v>
      </c>
      <c r="G89" s="13">
        <v>23520</v>
      </c>
      <c r="H89" s="14">
        <v>0.86250000000000004</v>
      </c>
      <c r="I89" s="13">
        <f t="shared" si="7"/>
        <v>134.75</v>
      </c>
      <c r="J89" s="13">
        <f t="shared" si="5"/>
        <v>3234</v>
      </c>
    </row>
    <row r="90" spans="1:10" x14ac:dyDescent="0.35">
      <c r="A90" s="8"/>
      <c r="B90" s="24" t="s">
        <v>3</v>
      </c>
      <c r="C90" s="21" t="s">
        <v>251</v>
      </c>
      <c r="D90" s="21" t="s">
        <v>40</v>
      </c>
      <c r="E90" s="24" t="s">
        <v>41</v>
      </c>
      <c r="F90" s="13">
        <f t="shared" si="6"/>
        <v>204</v>
      </c>
      <c r="G90" s="13">
        <v>4896</v>
      </c>
      <c r="H90" s="14">
        <v>0.86250000000000004</v>
      </c>
      <c r="I90" s="13">
        <f t="shared" si="7"/>
        <v>28.049999999999994</v>
      </c>
      <c r="J90" s="13">
        <f t="shared" si="5"/>
        <v>673.19999999999982</v>
      </c>
    </row>
    <row r="91" spans="1:10" x14ac:dyDescent="0.35">
      <c r="A91" s="8"/>
      <c r="B91" s="24" t="s">
        <v>3</v>
      </c>
      <c r="C91" s="21" t="s">
        <v>251</v>
      </c>
      <c r="D91" s="21" t="s">
        <v>42</v>
      </c>
      <c r="E91" s="24" t="s">
        <v>43</v>
      </c>
      <c r="F91" s="13">
        <f t="shared" si="6"/>
        <v>1755</v>
      </c>
      <c r="G91" s="13">
        <v>42120</v>
      </c>
      <c r="H91" s="14">
        <v>0.86250000000000004</v>
      </c>
      <c r="I91" s="13">
        <f t="shared" si="7"/>
        <v>241.3125</v>
      </c>
      <c r="J91" s="13">
        <f t="shared" si="5"/>
        <v>5791.5</v>
      </c>
    </row>
    <row r="92" spans="1:10" x14ac:dyDescent="0.35">
      <c r="A92" s="8"/>
      <c r="B92" s="24" t="s">
        <v>3</v>
      </c>
      <c r="C92" s="21" t="s">
        <v>251</v>
      </c>
      <c r="D92" s="21" t="s">
        <v>20</v>
      </c>
      <c r="E92" s="24" t="s">
        <v>21</v>
      </c>
      <c r="F92" s="13">
        <f t="shared" si="6"/>
        <v>0</v>
      </c>
      <c r="G92" s="13">
        <v>0</v>
      </c>
      <c r="H92" s="14">
        <v>0.86250000000000004</v>
      </c>
      <c r="I92" s="13">
        <f t="shared" si="7"/>
        <v>0</v>
      </c>
      <c r="J92" s="13">
        <f t="shared" si="5"/>
        <v>0</v>
      </c>
    </row>
    <row r="93" spans="1:10" x14ac:dyDescent="0.35">
      <c r="A93" s="8"/>
      <c r="B93" s="24" t="s">
        <v>3</v>
      </c>
      <c r="C93" s="21" t="s">
        <v>251</v>
      </c>
      <c r="D93" s="21" t="s">
        <v>20</v>
      </c>
      <c r="E93" s="24" t="s">
        <v>21</v>
      </c>
      <c r="F93" s="13">
        <f t="shared" si="6"/>
        <v>0</v>
      </c>
      <c r="G93" s="13">
        <v>0</v>
      </c>
      <c r="H93" s="14">
        <v>0.86250000000000004</v>
      </c>
      <c r="I93" s="13">
        <f t="shared" si="7"/>
        <v>0</v>
      </c>
      <c r="J93" s="13">
        <f t="shared" si="5"/>
        <v>0</v>
      </c>
    </row>
    <row r="94" spans="1:10" x14ac:dyDescent="0.35">
      <c r="A94" s="8"/>
      <c r="B94" s="24" t="s">
        <v>5</v>
      </c>
      <c r="C94" s="21" t="s">
        <v>251</v>
      </c>
      <c r="D94" s="21" t="s">
        <v>167</v>
      </c>
      <c r="E94" s="24" t="s">
        <v>11</v>
      </c>
      <c r="F94" s="13">
        <f t="shared" si="6"/>
        <v>0.02</v>
      </c>
      <c r="G94" s="13">
        <v>0.48</v>
      </c>
      <c r="H94" s="14">
        <v>0.86250000000000004</v>
      </c>
      <c r="I94" s="13">
        <f t="shared" si="7"/>
        <v>2.7500000000000003E-3</v>
      </c>
      <c r="J94" s="13">
        <f t="shared" si="5"/>
        <v>6.6000000000000003E-2</v>
      </c>
    </row>
    <row r="95" spans="1:10" x14ac:dyDescent="0.35">
      <c r="A95" s="8"/>
      <c r="B95" s="24" t="s">
        <v>5</v>
      </c>
      <c r="C95" s="21" t="s">
        <v>251</v>
      </c>
      <c r="D95" s="21" t="s">
        <v>22</v>
      </c>
      <c r="E95" s="24" t="s">
        <v>23</v>
      </c>
      <c r="F95" s="13">
        <f t="shared" si="6"/>
        <v>41768.42</v>
      </c>
      <c r="G95" s="13">
        <v>1002442.08</v>
      </c>
      <c r="H95" s="14">
        <v>0.86250000000000004</v>
      </c>
      <c r="I95" s="13">
        <f t="shared" si="7"/>
        <v>5743.1577499999985</v>
      </c>
      <c r="J95" s="13">
        <f t="shared" si="5"/>
        <v>137835.78599999996</v>
      </c>
    </row>
    <row r="96" spans="1:10" x14ac:dyDescent="0.35">
      <c r="A96" s="8"/>
      <c r="B96" s="24" t="s">
        <v>5</v>
      </c>
      <c r="C96" s="21" t="s">
        <v>251</v>
      </c>
      <c r="D96" s="21" t="s">
        <v>24</v>
      </c>
      <c r="E96" s="24" t="s">
        <v>25</v>
      </c>
      <c r="F96" s="13">
        <f t="shared" si="6"/>
        <v>53701.329999999994</v>
      </c>
      <c r="G96" s="13">
        <v>1288831.92</v>
      </c>
      <c r="H96" s="14">
        <v>0.86250000000000004</v>
      </c>
      <c r="I96" s="13">
        <f t="shared" si="7"/>
        <v>7383.9328749999986</v>
      </c>
      <c r="J96" s="13">
        <f t="shared" si="5"/>
        <v>177214.38899999997</v>
      </c>
    </row>
    <row r="97" spans="1:10" x14ac:dyDescent="0.35">
      <c r="A97" s="8"/>
      <c r="B97" s="24" t="s">
        <v>5</v>
      </c>
      <c r="C97" s="21" t="s">
        <v>251</v>
      </c>
      <c r="D97" s="21" t="s">
        <v>26</v>
      </c>
      <c r="E97" s="24" t="s">
        <v>12</v>
      </c>
      <c r="F97" s="13">
        <f t="shared" si="6"/>
        <v>27603.59</v>
      </c>
      <c r="G97" s="13">
        <v>662486.16</v>
      </c>
      <c r="H97" s="14">
        <v>0.86250000000000004</v>
      </c>
      <c r="I97" s="13">
        <f t="shared" si="7"/>
        <v>3795.4936249999978</v>
      </c>
      <c r="J97" s="13">
        <f t="shared" si="5"/>
        <v>91091.846999999951</v>
      </c>
    </row>
    <row r="98" spans="1:10" x14ac:dyDescent="0.35">
      <c r="A98" s="16"/>
      <c r="B98" s="24" t="s">
        <v>5</v>
      </c>
      <c r="C98" s="21" t="s">
        <v>251</v>
      </c>
      <c r="D98" s="21" t="s">
        <v>45</v>
      </c>
      <c r="E98" s="24" t="s">
        <v>13</v>
      </c>
      <c r="F98" s="17">
        <f t="shared" si="6"/>
        <v>9389.16</v>
      </c>
      <c r="G98" s="13">
        <v>225339.84</v>
      </c>
      <c r="H98" s="18">
        <v>0.86250000000000004</v>
      </c>
      <c r="I98" s="17">
        <f t="shared" si="7"/>
        <v>1291.0095000000001</v>
      </c>
      <c r="J98" s="17">
        <f t="shared" si="5"/>
        <v>30984.228000000003</v>
      </c>
    </row>
    <row r="99" spans="1:10" x14ac:dyDescent="0.35">
      <c r="A99" s="8"/>
      <c r="B99" s="24" t="s">
        <v>5</v>
      </c>
      <c r="C99" s="21" t="s">
        <v>251</v>
      </c>
      <c r="D99" s="21" t="s">
        <v>59</v>
      </c>
      <c r="E99" s="24" t="s">
        <v>60</v>
      </c>
      <c r="F99" s="13">
        <f t="shared" si="6"/>
        <v>0</v>
      </c>
      <c r="G99" s="13">
        <v>0</v>
      </c>
      <c r="H99" s="14">
        <v>0.86250000000000004</v>
      </c>
      <c r="I99" s="13">
        <f t="shared" si="7"/>
        <v>0</v>
      </c>
      <c r="J99" s="13">
        <f t="shared" si="5"/>
        <v>0</v>
      </c>
    </row>
    <row r="100" spans="1:10" x14ac:dyDescent="0.35">
      <c r="A100" s="8"/>
      <c r="B100" s="24" t="s">
        <v>3</v>
      </c>
      <c r="C100" s="21" t="s">
        <v>159</v>
      </c>
      <c r="D100" s="21" t="s">
        <v>168</v>
      </c>
      <c r="E100" s="24" t="s">
        <v>169</v>
      </c>
      <c r="F100" s="13">
        <f t="shared" si="6"/>
        <v>6435</v>
      </c>
      <c r="G100" s="13">
        <v>38610</v>
      </c>
      <c r="H100" s="14">
        <v>0.86250000000000004</v>
      </c>
      <c r="I100" s="13">
        <f t="shared" si="7"/>
        <v>884.8125</v>
      </c>
      <c r="J100" s="13">
        <f t="shared" si="5"/>
        <v>5308.875</v>
      </c>
    </row>
    <row r="101" spans="1:10" x14ac:dyDescent="0.35">
      <c r="A101" s="16"/>
      <c r="B101" s="24" t="s">
        <v>3</v>
      </c>
      <c r="C101" s="21" t="s">
        <v>159</v>
      </c>
      <c r="D101" s="21" t="s">
        <v>170</v>
      </c>
      <c r="E101" s="24" t="s">
        <v>171</v>
      </c>
      <c r="F101" s="17">
        <f t="shared" si="6"/>
        <v>156.33000000000001</v>
      </c>
      <c r="G101" s="13">
        <v>937.98</v>
      </c>
      <c r="H101" s="18">
        <v>0.86250000000000004</v>
      </c>
      <c r="I101" s="17">
        <f t="shared" si="7"/>
        <v>21.495374999999985</v>
      </c>
      <c r="J101" s="17">
        <f t="shared" si="5"/>
        <v>128.97224999999992</v>
      </c>
    </row>
    <row r="102" spans="1:10" x14ac:dyDescent="0.35">
      <c r="A102" s="8"/>
      <c r="B102" s="24" t="s">
        <v>5</v>
      </c>
      <c r="C102" s="21" t="s">
        <v>159</v>
      </c>
      <c r="D102" s="21" t="s">
        <v>44</v>
      </c>
      <c r="E102" s="24" t="s">
        <v>11</v>
      </c>
      <c r="F102" s="13">
        <f t="shared" si="6"/>
        <v>0.02</v>
      </c>
      <c r="G102" s="13">
        <v>0.12</v>
      </c>
      <c r="H102" s="14">
        <v>0.86250000000000004</v>
      </c>
      <c r="I102" s="13">
        <f t="shared" si="7"/>
        <v>2.7500000000000003E-3</v>
      </c>
      <c r="J102" s="13">
        <f t="shared" si="5"/>
        <v>1.6500000000000001E-2</v>
      </c>
    </row>
    <row r="103" spans="1:10" x14ac:dyDescent="0.35">
      <c r="A103" s="8"/>
      <c r="B103" s="24" t="s">
        <v>5</v>
      </c>
      <c r="C103" s="21" t="s">
        <v>159</v>
      </c>
      <c r="D103" s="21" t="s">
        <v>22</v>
      </c>
      <c r="E103" s="24" t="s">
        <v>23</v>
      </c>
      <c r="F103" s="13">
        <f t="shared" si="6"/>
        <v>1845.54</v>
      </c>
      <c r="G103" s="13">
        <v>11073.24</v>
      </c>
      <c r="H103" s="14">
        <v>0.86250000000000004</v>
      </c>
      <c r="I103" s="13">
        <f t="shared" si="7"/>
        <v>253.76174999999998</v>
      </c>
      <c r="J103" s="13">
        <f t="shared" si="5"/>
        <v>1522.5704999999998</v>
      </c>
    </row>
    <row r="104" spans="1:10" x14ac:dyDescent="0.35">
      <c r="A104" s="8"/>
      <c r="B104" s="24" t="s">
        <v>5</v>
      </c>
      <c r="C104" s="21" t="s">
        <v>159</v>
      </c>
      <c r="D104" s="21" t="s">
        <v>24</v>
      </c>
      <c r="E104" s="24" t="s">
        <v>25</v>
      </c>
      <c r="F104" s="13">
        <f t="shared" si="6"/>
        <v>2372.79</v>
      </c>
      <c r="G104" s="13">
        <v>14236.74</v>
      </c>
      <c r="H104" s="14">
        <v>0.86250000000000004</v>
      </c>
      <c r="I104" s="13">
        <f t="shared" si="7"/>
        <v>326.25862499999977</v>
      </c>
      <c r="J104" s="13">
        <f t="shared" si="5"/>
        <v>1957.5517499999987</v>
      </c>
    </row>
    <row r="105" spans="1:10" x14ac:dyDescent="0.35">
      <c r="A105" s="16"/>
      <c r="B105" s="24" t="s">
        <v>3</v>
      </c>
      <c r="C105" s="21" t="s">
        <v>159</v>
      </c>
      <c r="D105" s="21" t="s">
        <v>20</v>
      </c>
      <c r="E105" s="24" t="s">
        <v>21</v>
      </c>
      <c r="F105" s="17">
        <f t="shared" si="6"/>
        <v>0</v>
      </c>
      <c r="G105" s="13">
        <v>0</v>
      </c>
      <c r="H105" s="18">
        <v>0.86250000000000004</v>
      </c>
      <c r="I105" s="17">
        <f t="shared" si="7"/>
        <v>0</v>
      </c>
      <c r="J105" s="17">
        <f t="shared" si="5"/>
        <v>0</v>
      </c>
    </row>
    <row r="106" spans="1:10" x14ac:dyDescent="0.35">
      <c r="A106" s="8"/>
      <c r="B106" s="24" t="s">
        <v>4</v>
      </c>
      <c r="C106" s="21" t="s">
        <v>251</v>
      </c>
      <c r="D106" s="21" t="s">
        <v>172</v>
      </c>
      <c r="E106" s="24" t="s">
        <v>173</v>
      </c>
      <c r="F106" s="13">
        <f t="shared" si="6"/>
        <v>0.01</v>
      </c>
      <c r="G106" s="13">
        <v>0.24</v>
      </c>
      <c r="H106" s="14">
        <v>0.86250000000000004</v>
      </c>
      <c r="I106" s="13">
        <f t="shared" si="7"/>
        <v>1.3750000000000001E-3</v>
      </c>
      <c r="J106" s="13">
        <f t="shared" si="5"/>
        <v>3.3000000000000002E-2</v>
      </c>
    </row>
    <row r="107" spans="1:10" x14ac:dyDescent="0.35">
      <c r="A107" s="8"/>
      <c r="B107" s="24" t="s">
        <v>3</v>
      </c>
      <c r="C107" s="21" t="s">
        <v>251</v>
      </c>
      <c r="D107" s="21" t="s">
        <v>20</v>
      </c>
      <c r="E107" s="24" t="s">
        <v>21</v>
      </c>
      <c r="F107" s="13">
        <f t="shared" si="6"/>
        <v>0</v>
      </c>
      <c r="G107" s="13">
        <v>0</v>
      </c>
      <c r="H107" s="14">
        <v>0.86250000000000004</v>
      </c>
      <c r="I107" s="13">
        <f t="shared" si="7"/>
        <v>0</v>
      </c>
      <c r="J107" s="13">
        <f t="shared" si="5"/>
        <v>0</v>
      </c>
    </row>
    <row r="108" spans="1:10" x14ac:dyDescent="0.35">
      <c r="A108" s="8"/>
      <c r="B108" s="24" t="s">
        <v>3</v>
      </c>
      <c r="C108" s="21" t="s">
        <v>251</v>
      </c>
      <c r="D108" s="21" t="s">
        <v>20</v>
      </c>
      <c r="E108" s="24" t="s">
        <v>21</v>
      </c>
      <c r="F108" s="13">
        <f t="shared" si="6"/>
        <v>0</v>
      </c>
      <c r="G108" s="13">
        <v>0</v>
      </c>
      <c r="H108" s="14">
        <v>0.86250000000000004</v>
      </c>
      <c r="I108" s="13">
        <f t="shared" si="7"/>
        <v>0</v>
      </c>
      <c r="J108" s="13">
        <f t="shared" si="5"/>
        <v>0</v>
      </c>
    </row>
    <row r="109" spans="1:10" x14ac:dyDescent="0.35">
      <c r="A109" s="8"/>
      <c r="B109" s="24" t="s">
        <v>4</v>
      </c>
      <c r="C109" s="21" t="s">
        <v>251</v>
      </c>
      <c r="D109" s="21" t="s">
        <v>174</v>
      </c>
      <c r="E109" s="24" t="s">
        <v>175</v>
      </c>
      <c r="F109" s="13">
        <f t="shared" si="6"/>
        <v>0</v>
      </c>
      <c r="G109" s="13">
        <v>0</v>
      </c>
      <c r="H109" s="14">
        <v>0.86250000000000004</v>
      </c>
      <c r="I109" s="13">
        <f t="shared" si="7"/>
        <v>0</v>
      </c>
      <c r="J109" s="13">
        <f t="shared" si="5"/>
        <v>0</v>
      </c>
    </row>
    <row r="110" spans="1:10" x14ac:dyDescent="0.35">
      <c r="A110" s="8"/>
      <c r="B110" s="24" t="s">
        <v>4</v>
      </c>
      <c r="C110" s="21" t="s">
        <v>251</v>
      </c>
      <c r="D110" s="21" t="s">
        <v>176</v>
      </c>
      <c r="E110" s="24" t="s">
        <v>177</v>
      </c>
      <c r="F110" s="13">
        <f t="shared" si="6"/>
        <v>0</v>
      </c>
      <c r="G110" s="13">
        <v>0</v>
      </c>
      <c r="H110" s="14">
        <v>0.86250000000000004</v>
      </c>
      <c r="I110" s="13">
        <f t="shared" si="7"/>
        <v>0</v>
      </c>
      <c r="J110" s="13">
        <f t="shared" si="5"/>
        <v>0</v>
      </c>
    </row>
    <row r="111" spans="1:10" x14ac:dyDescent="0.35">
      <c r="A111" s="8"/>
      <c r="B111" s="24" t="s">
        <v>4</v>
      </c>
      <c r="C111" s="21" t="s">
        <v>251</v>
      </c>
      <c r="D111" s="21" t="s">
        <v>178</v>
      </c>
      <c r="E111" s="24" t="s">
        <v>179</v>
      </c>
      <c r="F111" s="13">
        <f t="shared" si="6"/>
        <v>0</v>
      </c>
      <c r="G111" s="13">
        <v>0</v>
      </c>
      <c r="H111" s="14">
        <v>0.86250000000000004</v>
      </c>
      <c r="I111" s="13">
        <f t="shared" si="7"/>
        <v>0</v>
      </c>
      <c r="J111" s="13">
        <f t="shared" si="5"/>
        <v>0</v>
      </c>
    </row>
    <row r="112" spans="1:10" x14ac:dyDescent="0.35">
      <c r="A112" s="8"/>
      <c r="B112" s="24" t="s">
        <v>4</v>
      </c>
      <c r="C112" s="21" t="s">
        <v>251</v>
      </c>
      <c r="D112" s="21" t="s">
        <v>180</v>
      </c>
      <c r="E112" s="24" t="s">
        <v>181</v>
      </c>
      <c r="F112" s="13">
        <f t="shared" si="6"/>
        <v>0</v>
      </c>
      <c r="G112" s="13">
        <v>0</v>
      </c>
      <c r="H112" s="14">
        <v>0.86250000000000004</v>
      </c>
      <c r="I112" s="13">
        <f t="shared" si="7"/>
        <v>0</v>
      </c>
      <c r="J112" s="13">
        <f t="shared" si="5"/>
        <v>0</v>
      </c>
    </row>
    <row r="113" spans="1:11" x14ac:dyDescent="0.35">
      <c r="A113" s="8"/>
      <c r="B113" s="24" t="s">
        <v>4</v>
      </c>
      <c r="C113" s="21" t="s">
        <v>251</v>
      </c>
      <c r="D113" s="21" t="s">
        <v>182</v>
      </c>
      <c r="E113" s="24" t="s">
        <v>183</v>
      </c>
      <c r="F113" s="13">
        <f t="shared" si="6"/>
        <v>4434.78</v>
      </c>
      <c r="G113" s="13">
        <v>106434.72</v>
      </c>
      <c r="H113" s="14">
        <v>0.86250000000000004</v>
      </c>
      <c r="I113" s="13">
        <f t="shared" si="7"/>
        <v>609.78224999999964</v>
      </c>
      <c r="J113" s="13">
        <f t="shared" si="5"/>
        <v>14634.77399999999</v>
      </c>
    </row>
    <row r="114" spans="1:11" x14ac:dyDescent="0.35">
      <c r="A114" s="8"/>
      <c r="B114" s="24" t="s">
        <v>4</v>
      </c>
      <c r="C114" s="21" t="s">
        <v>256</v>
      </c>
      <c r="D114" s="21" t="s">
        <v>184</v>
      </c>
      <c r="E114" s="24" t="s">
        <v>185</v>
      </c>
      <c r="F114" s="13">
        <f t="shared" si="6"/>
        <v>0</v>
      </c>
      <c r="G114" s="13">
        <v>0</v>
      </c>
      <c r="H114" s="14">
        <v>0.86250000000000004</v>
      </c>
      <c r="I114" s="13">
        <f t="shared" si="7"/>
        <v>0</v>
      </c>
      <c r="J114" s="13">
        <f t="shared" si="5"/>
        <v>0</v>
      </c>
    </row>
    <row r="115" spans="1:11" x14ac:dyDescent="0.35">
      <c r="A115" s="8"/>
      <c r="B115" s="24" t="s">
        <v>4</v>
      </c>
      <c r="C115" s="21" t="s">
        <v>256</v>
      </c>
      <c r="D115" s="21" t="s">
        <v>186</v>
      </c>
      <c r="E115" s="24" t="s">
        <v>187</v>
      </c>
      <c r="F115" s="13">
        <f t="shared" si="6"/>
        <v>0</v>
      </c>
      <c r="G115" s="13">
        <v>0</v>
      </c>
      <c r="H115" s="14">
        <v>0.86250000000000004</v>
      </c>
      <c r="I115" s="13">
        <f t="shared" si="7"/>
        <v>0</v>
      </c>
      <c r="J115" s="13">
        <f t="shared" si="5"/>
        <v>0</v>
      </c>
    </row>
    <row r="116" spans="1:11" x14ac:dyDescent="0.35">
      <c r="A116" s="8"/>
      <c r="B116" s="24" t="s">
        <v>4</v>
      </c>
      <c r="C116" s="21" t="s">
        <v>256</v>
      </c>
      <c r="D116" s="21" t="s">
        <v>188</v>
      </c>
      <c r="E116" s="24" t="s">
        <v>189</v>
      </c>
      <c r="F116" s="13">
        <f t="shared" si="6"/>
        <v>93.28</v>
      </c>
      <c r="G116" s="13">
        <v>895488</v>
      </c>
      <c r="H116" s="14">
        <v>0.86250000000000004</v>
      </c>
      <c r="I116" s="13">
        <f t="shared" si="7"/>
        <v>12.825999999999997</v>
      </c>
      <c r="J116" s="13">
        <f t="shared" si="5"/>
        <v>123129.59999999998</v>
      </c>
    </row>
    <row r="117" spans="1:11" x14ac:dyDescent="0.35">
      <c r="A117" s="16"/>
      <c r="B117" s="24" t="s">
        <v>4</v>
      </c>
      <c r="C117" s="21" t="s">
        <v>256</v>
      </c>
      <c r="D117" s="21" t="s">
        <v>190</v>
      </c>
      <c r="E117" s="24" t="s">
        <v>191</v>
      </c>
      <c r="F117" s="17">
        <f t="shared" si="6"/>
        <v>0</v>
      </c>
      <c r="G117" s="13">
        <v>0</v>
      </c>
      <c r="H117" s="18">
        <v>0.86250000000000004</v>
      </c>
      <c r="I117" s="17">
        <f t="shared" si="7"/>
        <v>0</v>
      </c>
      <c r="J117" s="17">
        <f t="shared" si="5"/>
        <v>0</v>
      </c>
      <c r="K117" s="19"/>
    </row>
    <row r="118" spans="1:11" x14ac:dyDescent="0.35">
      <c r="A118" s="8"/>
      <c r="B118" s="24" t="s">
        <v>4</v>
      </c>
      <c r="C118" s="21" t="s">
        <v>256</v>
      </c>
      <c r="D118" s="21" t="s">
        <v>192</v>
      </c>
      <c r="E118" s="24" t="s">
        <v>193</v>
      </c>
      <c r="F118" s="13">
        <f t="shared" si="6"/>
        <v>0</v>
      </c>
      <c r="G118" s="13">
        <v>0</v>
      </c>
      <c r="H118" s="14">
        <v>0.86250000000000004</v>
      </c>
      <c r="I118" s="13">
        <f t="shared" si="7"/>
        <v>0</v>
      </c>
      <c r="J118" s="13">
        <f t="shared" si="5"/>
        <v>0</v>
      </c>
    </row>
    <row r="119" spans="1:11" x14ac:dyDescent="0.35">
      <c r="A119" s="8"/>
      <c r="B119" s="24" t="s">
        <v>4</v>
      </c>
      <c r="C119" s="21" t="s">
        <v>251</v>
      </c>
      <c r="D119" s="21" t="s">
        <v>194</v>
      </c>
      <c r="E119" s="24" t="s">
        <v>195</v>
      </c>
      <c r="F119" s="13">
        <f t="shared" si="6"/>
        <v>0</v>
      </c>
      <c r="G119" s="13">
        <v>0</v>
      </c>
      <c r="H119" s="14">
        <v>0.86250000000000004</v>
      </c>
      <c r="I119" s="13">
        <f t="shared" si="7"/>
        <v>0</v>
      </c>
      <c r="J119" s="13">
        <f t="shared" si="5"/>
        <v>0</v>
      </c>
    </row>
    <row r="120" spans="1:11" x14ac:dyDescent="0.35">
      <c r="A120" s="8"/>
      <c r="B120" s="24" t="s">
        <v>4</v>
      </c>
      <c r="C120" s="21" t="s">
        <v>256</v>
      </c>
      <c r="D120" s="21" t="s">
        <v>196</v>
      </c>
      <c r="E120" s="24" t="s">
        <v>197</v>
      </c>
      <c r="F120" s="13">
        <f t="shared" si="6"/>
        <v>0</v>
      </c>
      <c r="G120" s="13">
        <v>0</v>
      </c>
      <c r="H120" s="14">
        <v>0.86250000000000004</v>
      </c>
      <c r="I120" s="13">
        <f t="shared" si="7"/>
        <v>0</v>
      </c>
      <c r="J120" s="13">
        <f t="shared" si="5"/>
        <v>0</v>
      </c>
    </row>
    <row r="121" spans="1:11" x14ac:dyDescent="0.35">
      <c r="A121" s="8"/>
      <c r="B121" s="24" t="s">
        <v>4</v>
      </c>
      <c r="C121" s="21" t="s">
        <v>251</v>
      </c>
      <c r="D121" s="21" t="s">
        <v>27</v>
      </c>
      <c r="E121" s="24" t="s">
        <v>28</v>
      </c>
      <c r="F121" s="13">
        <f t="shared" si="6"/>
        <v>0</v>
      </c>
      <c r="G121" s="13">
        <v>0</v>
      </c>
      <c r="H121" s="14">
        <v>0.86250000000000004</v>
      </c>
      <c r="I121" s="13">
        <f t="shared" si="7"/>
        <v>0</v>
      </c>
      <c r="J121" s="13">
        <f t="shared" si="5"/>
        <v>0</v>
      </c>
    </row>
    <row r="122" spans="1:11" x14ac:dyDescent="0.35">
      <c r="A122" s="8"/>
      <c r="B122" s="24" t="s">
        <v>3</v>
      </c>
      <c r="C122" s="21" t="s">
        <v>251</v>
      </c>
      <c r="D122" s="21" t="s">
        <v>20</v>
      </c>
      <c r="E122" s="24" t="s">
        <v>21</v>
      </c>
      <c r="F122" s="13">
        <f t="shared" si="6"/>
        <v>0</v>
      </c>
      <c r="G122" s="13">
        <v>0</v>
      </c>
      <c r="H122" s="14">
        <v>0.86250000000000004</v>
      </c>
      <c r="I122" s="13">
        <f t="shared" si="7"/>
        <v>0</v>
      </c>
      <c r="J122" s="13">
        <f t="shared" si="5"/>
        <v>0</v>
      </c>
    </row>
    <row r="123" spans="1:11" x14ac:dyDescent="0.35">
      <c r="A123" s="16"/>
      <c r="B123" s="24" t="s">
        <v>6</v>
      </c>
      <c r="C123" s="21" t="s">
        <v>251</v>
      </c>
      <c r="D123" s="21" t="s">
        <v>29</v>
      </c>
      <c r="E123" s="24" t="s">
        <v>30</v>
      </c>
      <c r="F123" s="17">
        <f t="shared" si="6"/>
        <v>41747.620000000003</v>
      </c>
      <c r="G123" s="13">
        <v>1001942.88</v>
      </c>
      <c r="H123" s="18">
        <v>0.86250000000000004</v>
      </c>
      <c r="I123" s="17">
        <f t="shared" si="7"/>
        <v>5740.2977499999979</v>
      </c>
      <c r="J123" s="17">
        <f t="shared" si="5"/>
        <v>137767.14599999995</v>
      </c>
    </row>
    <row r="124" spans="1:11" x14ac:dyDescent="0.35">
      <c r="A124" s="8"/>
      <c r="B124" s="24" t="s">
        <v>3</v>
      </c>
      <c r="C124" s="21" t="s">
        <v>251</v>
      </c>
      <c r="D124" s="21" t="s">
        <v>20</v>
      </c>
      <c r="E124" s="24" t="s">
        <v>21</v>
      </c>
      <c r="F124" s="13">
        <f t="shared" si="6"/>
        <v>0</v>
      </c>
      <c r="G124" s="13">
        <v>0</v>
      </c>
      <c r="H124" s="14">
        <v>0.86250000000000004</v>
      </c>
      <c r="I124" s="13">
        <f t="shared" si="7"/>
        <v>0</v>
      </c>
      <c r="J124" s="13">
        <f t="shared" si="5"/>
        <v>0</v>
      </c>
    </row>
    <row r="125" spans="1:11" x14ac:dyDescent="0.35">
      <c r="A125" s="8"/>
      <c r="B125" s="24" t="s">
        <v>4</v>
      </c>
      <c r="C125" s="21" t="s">
        <v>251</v>
      </c>
      <c r="D125" s="21" t="s">
        <v>172</v>
      </c>
      <c r="E125" s="24" t="s">
        <v>173</v>
      </c>
      <c r="F125" s="13">
        <f t="shared" ref="F125:F188" si="8">G125/C125</f>
        <v>0.01</v>
      </c>
      <c r="G125" s="13">
        <v>0.24</v>
      </c>
      <c r="H125" s="14">
        <v>0.86250000000000004</v>
      </c>
      <c r="I125" s="13">
        <f t="shared" ref="I125:I188" si="9">J125/C125</f>
        <v>1.3750000000000001E-3</v>
      </c>
      <c r="J125" s="13">
        <f t="shared" si="5"/>
        <v>3.3000000000000002E-2</v>
      </c>
    </row>
    <row r="126" spans="1:11" x14ac:dyDescent="0.35">
      <c r="A126" s="8"/>
      <c r="B126" s="24" t="s">
        <v>3</v>
      </c>
      <c r="C126" s="21" t="s">
        <v>251</v>
      </c>
      <c r="D126" s="21" t="s">
        <v>20</v>
      </c>
      <c r="E126" s="24" t="s">
        <v>21</v>
      </c>
      <c r="F126" s="13">
        <f t="shared" si="8"/>
        <v>0</v>
      </c>
      <c r="G126" s="13">
        <v>0</v>
      </c>
      <c r="H126" s="14">
        <v>0.86250000000000004</v>
      </c>
      <c r="I126" s="13">
        <f t="shared" si="9"/>
        <v>0</v>
      </c>
      <c r="J126" s="13">
        <f t="shared" si="5"/>
        <v>0</v>
      </c>
    </row>
    <row r="127" spans="1:11" x14ac:dyDescent="0.35">
      <c r="A127" s="8"/>
      <c r="B127" s="24" t="s">
        <v>3</v>
      </c>
      <c r="C127" s="21" t="s">
        <v>251</v>
      </c>
      <c r="D127" s="21" t="s">
        <v>20</v>
      </c>
      <c r="E127" s="24" t="s">
        <v>21</v>
      </c>
      <c r="F127" s="13">
        <f t="shared" si="8"/>
        <v>0</v>
      </c>
      <c r="G127" s="13">
        <v>0</v>
      </c>
      <c r="H127" s="14">
        <v>0.86250000000000004</v>
      </c>
      <c r="I127" s="13">
        <f t="shared" si="9"/>
        <v>0</v>
      </c>
      <c r="J127" s="13">
        <f t="shared" ref="J127:J190" si="10">G127-G127*H127</f>
        <v>0</v>
      </c>
    </row>
    <row r="128" spans="1:11" x14ac:dyDescent="0.35">
      <c r="A128" s="8"/>
      <c r="B128" s="24" t="s">
        <v>4</v>
      </c>
      <c r="C128" s="21" t="s">
        <v>251</v>
      </c>
      <c r="D128" s="21" t="s">
        <v>257</v>
      </c>
      <c r="E128" s="24" t="s">
        <v>258</v>
      </c>
      <c r="F128" s="13">
        <f t="shared" si="8"/>
        <v>13263.089999999998</v>
      </c>
      <c r="G128" s="13">
        <v>318314.15999999997</v>
      </c>
      <c r="H128" s="14">
        <v>0.86250000000000004</v>
      </c>
      <c r="I128" s="13">
        <f t="shared" si="9"/>
        <v>1823.6748749999995</v>
      </c>
      <c r="J128" s="13">
        <f t="shared" si="10"/>
        <v>43768.196999999986</v>
      </c>
    </row>
    <row r="129" spans="1:10" x14ac:dyDescent="0.35">
      <c r="A129" s="8"/>
      <c r="B129" s="24" t="s">
        <v>3</v>
      </c>
      <c r="C129" s="21" t="s">
        <v>251</v>
      </c>
      <c r="D129" s="21" t="s">
        <v>20</v>
      </c>
      <c r="E129" s="24" t="s">
        <v>21</v>
      </c>
      <c r="F129" s="13">
        <f t="shared" si="8"/>
        <v>0</v>
      </c>
      <c r="G129" s="13">
        <v>0</v>
      </c>
      <c r="H129" s="14">
        <v>0.86250000000000004</v>
      </c>
      <c r="I129" s="13">
        <f t="shared" si="9"/>
        <v>0</v>
      </c>
      <c r="J129" s="13">
        <f t="shared" si="10"/>
        <v>0</v>
      </c>
    </row>
    <row r="130" spans="1:10" x14ac:dyDescent="0.35">
      <c r="A130" s="8"/>
      <c r="B130" s="24" t="s">
        <v>4</v>
      </c>
      <c r="C130" s="21" t="s">
        <v>256</v>
      </c>
      <c r="D130" s="21" t="s">
        <v>198</v>
      </c>
      <c r="E130" s="24" t="s">
        <v>259</v>
      </c>
      <c r="F130" s="13">
        <f t="shared" si="8"/>
        <v>162.38999999999999</v>
      </c>
      <c r="G130" s="13">
        <v>1558944</v>
      </c>
      <c r="H130" s="14">
        <v>0.86250000000000004</v>
      </c>
      <c r="I130" s="13">
        <f t="shared" si="9"/>
        <v>22.328625000000006</v>
      </c>
      <c r="J130" s="13">
        <f t="shared" si="10"/>
        <v>214354.80000000005</v>
      </c>
    </row>
    <row r="131" spans="1:10" x14ac:dyDescent="0.35">
      <c r="A131" s="8"/>
      <c r="B131" s="24" t="s">
        <v>3</v>
      </c>
      <c r="C131" s="21" t="s">
        <v>251</v>
      </c>
      <c r="D131" s="21" t="s">
        <v>20</v>
      </c>
      <c r="E131" s="24" t="s">
        <v>21</v>
      </c>
      <c r="F131" s="13">
        <f t="shared" si="8"/>
        <v>0</v>
      </c>
      <c r="G131" s="13">
        <v>0</v>
      </c>
      <c r="H131" s="14">
        <v>0.86250000000000004</v>
      </c>
      <c r="I131" s="13">
        <f t="shared" si="9"/>
        <v>0</v>
      </c>
      <c r="J131" s="13">
        <f t="shared" si="10"/>
        <v>0</v>
      </c>
    </row>
    <row r="132" spans="1:10" x14ac:dyDescent="0.35">
      <c r="A132" s="8"/>
      <c r="B132" s="24" t="s">
        <v>6</v>
      </c>
      <c r="C132" s="21" t="s">
        <v>251</v>
      </c>
      <c r="D132" s="21" t="s">
        <v>46</v>
      </c>
      <c r="E132" s="24" t="s">
        <v>47</v>
      </c>
      <c r="F132" s="13">
        <f t="shared" si="8"/>
        <v>46929.579999999994</v>
      </c>
      <c r="G132" s="13">
        <v>1126309.92</v>
      </c>
      <c r="H132" s="14">
        <v>0.86250000000000004</v>
      </c>
      <c r="I132" s="13">
        <f t="shared" si="9"/>
        <v>6452.8172499999973</v>
      </c>
      <c r="J132" s="13">
        <f t="shared" si="10"/>
        <v>154867.61399999994</v>
      </c>
    </row>
    <row r="133" spans="1:10" x14ac:dyDescent="0.35">
      <c r="A133" s="8"/>
      <c r="B133" s="24" t="s">
        <v>3</v>
      </c>
      <c r="C133" s="21" t="s">
        <v>251</v>
      </c>
      <c r="D133" s="21" t="s">
        <v>20</v>
      </c>
      <c r="E133" s="24" t="s">
        <v>21</v>
      </c>
      <c r="F133" s="13">
        <f t="shared" si="8"/>
        <v>0</v>
      </c>
      <c r="G133" s="13">
        <v>0</v>
      </c>
      <c r="H133" s="14">
        <v>0.86250000000000004</v>
      </c>
      <c r="I133" s="13">
        <f t="shared" si="9"/>
        <v>0</v>
      </c>
      <c r="J133" s="13">
        <f t="shared" si="10"/>
        <v>0</v>
      </c>
    </row>
    <row r="134" spans="1:10" x14ac:dyDescent="0.35">
      <c r="A134" s="8"/>
      <c r="B134" s="24" t="s">
        <v>3</v>
      </c>
      <c r="C134" s="21" t="s">
        <v>18</v>
      </c>
      <c r="D134" s="21" t="s">
        <v>48</v>
      </c>
      <c r="E134" s="24" t="s">
        <v>49</v>
      </c>
      <c r="F134" s="13">
        <f t="shared" si="8"/>
        <v>0</v>
      </c>
      <c r="G134" s="13">
        <v>0</v>
      </c>
      <c r="H134" s="14">
        <v>0.86250000000000004</v>
      </c>
      <c r="I134" s="13">
        <f t="shared" si="9"/>
        <v>0</v>
      </c>
      <c r="J134" s="13">
        <f t="shared" si="10"/>
        <v>0</v>
      </c>
    </row>
    <row r="135" spans="1:10" x14ac:dyDescent="0.35">
      <c r="A135" s="8"/>
      <c r="B135" s="24" t="s">
        <v>3</v>
      </c>
      <c r="C135" s="21" t="s">
        <v>18</v>
      </c>
      <c r="D135" s="21" t="s">
        <v>20</v>
      </c>
      <c r="E135" s="24" t="s">
        <v>21</v>
      </c>
      <c r="F135" s="13">
        <f t="shared" si="8"/>
        <v>0</v>
      </c>
      <c r="G135" s="13">
        <v>0</v>
      </c>
      <c r="H135" s="14">
        <v>0.86250000000000004</v>
      </c>
      <c r="I135" s="13">
        <f t="shared" si="9"/>
        <v>0</v>
      </c>
      <c r="J135" s="13">
        <f t="shared" si="10"/>
        <v>0</v>
      </c>
    </row>
    <row r="136" spans="1:10" x14ac:dyDescent="0.35">
      <c r="A136" s="8"/>
      <c r="B136" s="24" t="s">
        <v>3</v>
      </c>
      <c r="C136" s="21" t="s">
        <v>18</v>
      </c>
      <c r="D136" s="21" t="s">
        <v>20</v>
      </c>
      <c r="E136" s="24" t="s">
        <v>21</v>
      </c>
      <c r="F136" s="13">
        <f t="shared" si="8"/>
        <v>0</v>
      </c>
      <c r="G136" s="13">
        <v>0</v>
      </c>
      <c r="H136" s="14">
        <v>0.86250000000000004</v>
      </c>
      <c r="I136" s="13">
        <f t="shared" si="9"/>
        <v>0</v>
      </c>
      <c r="J136" s="13">
        <f t="shared" si="10"/>
        <v>0</v>
      </c>
    </row>
    <row r="137" spans="1:10" x14ac:dyDescent="0.35">
      <c r="A137" s="8"/>
      <c r="B137" s="24" t="s">
        <v>3</v>
      </c>
      <c r="C137" s="21" t="s">
        <v>260</v>
      </c>
      <c r="D137" s="21" t="s">
        <v>50</v>
      </c>
      <c r="E137" s="24" t="s">
        <v>51</v>
      </c>
      <c r="F137" s="13">
        <f t="shared" si="8"/>
        <v>109</v>
      </c>
      <c r="G137" s="13">
        <v>1308</v>
      </c>
      <c r="H137" s="14">
        <v>0.86250000000000004</v>
      </c>
      <c r="I137" s="13">
        <f t="shared" si="9"/>
        <v>14.987499999999992</v>
      </c>
      <c r="J137" s="13">
        <f t="shared" si="10"/>
        <v>179.84999999999991</v>
      </c>
    </row>
    <row r="138" spans="1:10" x14ac:dyDescent="0.35">
      <c r="A138" s="8"/>
      <c r="B138" s="24" t="s">
        <v>3</v>
      </c>
      <c r="C138" s="21" t="s">
        <v>160</v>
      </c>
      <c r="D138" s="21" t="s">
        <v>52</v>
      </c>
      <c r="E138" s="24" t="s">
        <v>53</v>
      </c>
      <c r="F138" s="13">
        <f t="shared" si="8"/>
        <v>603</v>
      </c>
      <c r="G138" s="13">
        <v>9045</v>
      </c>
      <c r="H138" s="14">
        <v>0.86250000000000004</v>
      </c>
      <c r="I138" s="13">
        <f t="shared" si="9"/>
        <v>82.912499999999994</v>
      </c>
      <c r="J138" s="13">
        <f t="shared" si="10"/>
        <v>1243.6875</v>
      </c>
    </row>
    <row r="139" spans="1:10" x14ac:dyDescent="0.35">
      <c r="A139" s="8"/>
      <c r="B139" s="24" t="s">
        <v>3</v>
      </c>
      <c r="C139" s="21" t="s">
        <v>160</v>
      </c>
      <c r="D139" s="21" t="s">
        <v>261</v>
      </c>
      <c r="E139" s="24" t="s">
        <v>262</v>
      </c>
      <c r="F139" s="13">
        <f t="shared" si="8"/>
        <v>1569.29</v>
      </c>
      <c r="G139" s="13">
        <v>23539.35</v>
      </c>
      <c r="H139" s="14">
        <v>0.86250000000000004</v>
      </c>
      <c r="I139" s="13">
        <f t="shared" si="9"/>
        <v>215.77737500000003</v>
      </c>
      <c r="J139" s="13">
        <f t="shared" si="10"/>
        <v>3236.6606250000004</v>
      </c>
    </row>
    <row r="140" spans="1:10" x14ac:dyDescent="0.35">
      <c r="A140" s="8"/>
      <c r="B140" s="24" t="s">
        <v>3</v>
      </c>
      <c r="C140" s="21" t="s">
        <v>263</v>
      </c>
      <c r="D140" s="21" t="s">
        <v>42</v>
      </c>
      <c r="E140" s="24" t="s">
        <v>43</v>
      </c>
      <c r="F140" s="13">
        <f t="shared" si="8"/>
        <v>1755</v>
      </c>
      <c r="G140" s="13">
        <v>8775</v>
      </c>
      <c r="H140" s="14">
        <v>0.86250000000000004</v>
      </c>
      <c r="I140" s="13">
        <f t="shared" si="9"/>
        <v>241.3125</v>
      </c>
      <c r="J140" s="13">
        <f t="shared" si="10"/>
        <v>1206.5625</v>
      </c>
    </row>
    <row r="141" spans="1:10" x14ac:dyDescent="0.35">
      <c r="A141" s="8"/>
      <c r="B141" s="24" t="s">
        <v>3</v>
      </c>
      <c r="C141" s="21" t="s">
        <v>18</v>
      </c>
      <c r="D141" s="21" t="s">
        <v>54</v>
      </c>
      <c r="E141" s="24" t="s">
        <v>55</v>
      </c>
      <c r="F141" s="13">
        <f t="shared" si="8"/>
        <v>0</v>
      </c>
      <c r="G141" s="13">
        <v>0</v>
      </c>
      <c r="H141" s="14">
        <v>0.86250000000000004</v>
      </c>
      <c r="I141" s="13">
        <f t="shared" si="9"/>
        <v>0</v>
      </c>
      <c r="J141" s="13">
        <f t="shared" si="10"/>
        <v>0</v>
      </c>
    </row>
    <row r="142" spans="1:10" x14ac:dyDescent="0.35">
      <c r="A142" s="8"/>
      <c r="B142" s="24" t="s">
        <v>5</v>
      </c>
      <c r="C142" s="21" t="s">
        <v>18</v>
      </c>
      <c r="D142" s="21" t="s">
        <v>31</v>
      </c>
      <c r="E142" s="24" t="s">
        <v>32</v>
      </c>
      <c r="F142" s="13">
        <f t="shared" si="8"/>
        <v>0</v>
      </c>
      <c r="G142" s="13">
        <v>0</v>
      </c>
      <c r="H142" s="14">
        <v>0.86250000000000004</v>
      </c>
      <c r="I142" s="13">
        <f t="shared" si="9"/>
        <v>0</v>
      </c>
      <c r="J142" s="13">
        <f t="shared" si="10"/>
        <v>0</v>
      </c>
    </row>
    <row r="143" spans="1:10" x14ac:dyDescent="0.35">
      <c r="A143" s="8"/>
      <c r="B143" s="24" t="s">
        <v>5</v>
      </c>
      <c r="C143" s="21" t="s">
        <v>18</v>
      </c>
      <c r="D143" s="21" t="s">
        <v>33</v>
      </c>
      <c r="E143" s="24" t="s">
        <v>32</v>
      </c>
      <c r="F143" s="13">
        <f t="shared" si="8"/>
        <v>0</v>
      </c>
      <c r="G143" s="13">
        <v>0</v>
      </c>
      <c r="H143" s="14">
        <v>0.86250000000000004</v>
      </c>
      <c r="I143" s="13">
        <f t="shared" si="9"/>
        <v>0</v>
      </c>
      <c r="J143" s="13">
        <f t="shared" si="10"/>
        <v>0</v>
      </c>
    </row>
    <row r="144" spans="1:10" x14ac:dyDescent="0.35">
      <c r="A144" s="6">
        <v>30</v>
      </c>
      <c r="B144" s="25"/>
      <c r="C144" s="22" t="s">
        <v>264</v>
      </c>
      <c r="D144" s="22"/>
      <c r="E144" s="25" t="s">
        <v>199</v>
      </c>
      <c r="F144" s="11">
        <f t="shared" si="8"/>
        <v>902176.45399999991</v>
      </c>
      <c r="G144" s="11">
        <f>SUM(G145:G194)</f>
        <v>9021764.5399999991</v>
      </c>
      <c r="H144" s="12">
        <v>0.86250000000000004</v>
      </c>
      <c r="I144" s="11">
        <f t="shared" si="9"/>
        <v>124049.26242499994</v>
      </c>
      <c r="J144" s="11">
        <f t="shared" si="10"/>
        <v>1240492.6242499994</v>
      </c>
    </row>
    <row r="145" spans="1:10" x14ac:dyDescent="0.35">
      <c r="A145" s="8"/>
      <c r="B145" s="24" t="s">
        <v>3</v>
      </c>
      <c r="C145" s="21" t="s">
        <v>264</v>
      </c>
      <c r="D145" s="21" t="s">
        <v>200</v>
      </c>
      <c r="E145" s="24" t="s">
        <v>201</v>
      </c>
      <c r="F145" s="13">
        <f t="shared" si="8"/>
        <v>23242.400000000001</v>
      </c>
      <c r="G145" s="13">
        <v>232424</v>
      </c>
      <c r="H145" s="14">
        <v>0.86250000000000004</v>
      </c>
      <c r="I145" s="13">
        <f t="shared" si="9"/>
        <v>3195.829999999999</v>
      </c>
      <c r="J145" s="13">
        <f t="shared" si="10"/>
        <v>31958.299999999988</v>
      </c>
    </row>
    <row r="146" spans="1:10" x14ac:dyDescent="0.35">
      <c r="A146" s="8"/>
      <c r="B146" s="24" t="s">
        <v>3</v>
      </c>
      <c r="C146" s="21" t="s">
        <v>264</v>
      </c>
      <c r="D146" s="21" t="s">
        <v>20</v>
      </c>
      <c r="E146" s="24" t="s">
        <v>21</v>
      </c>
      <c r="F146" s="13">
        <f t="shared" si="8"/>
        <v>0</v>
      </c>
      <c r="G146" s="13">
        <v>0</v>
      </c>
      <c r="H146" s="14">
        <v>0.86250000000000004</v>
      </c>
      <c r="I146" s="13">
        <f t="shared" si="9"/>
        <v>0</v>
      </c>
      <c r="J146" s="13">
        <f t="shared" si="10"/>
        <v>0</v>
      </c>
    </row>
    <row r="147" spans="1:10" x14ac:dyDescent="0.35">
      <c r="A147" s="8"/>
      <c r="B147" s="24" t="s">
        <v>3</v>
      </c>
      <c r="C147" s="21" t="s">
        <v>264</v>
      </c>
      <c r="D147" s="21" t="s">
        <v>20</v>
      </c>
      <c r="E147" s="24" t="s">
        <v>21</v>
      </c>
      <c r="F147" s="13">
        <f t="shared" si="8"/>
        <v>0</v>
      </c>
      <c r="G147" s="13">
        <v>0</v>
      </c>
      <c r="H147" s="14">
        <v>0.86250000000000004</v>
      </c>
      <c r="I147" s="13">
        <f t="shared" si="9"/>
        <v>0</v>
      </c>
      <c r="J147" s="13">
        <f t="shared" si="10"/>
        <v>0</v>
      </c>
    </row>
    <row r="148" spans="1:10" x14ac:dyDescent="0.35">
      <c r="A148" s="8"/>
      <c r="B148" s="24" t="s">
        <v>3</v>
      </c>
      <c r="C148" s="21" t="s">
        <v>264</v>
      </c>
      <c r="D148" s="21" t="s">
        <v>252</v>
      </c>
      <c r="E148" s="24" t="s">
        <v>253</v>
      </c>
      <c r="F148" s="13">
        <f t="shared" si="8"/>
        <v>128481.31999999999</v>
      </c>
      <c r="G148" s="13">
        <v>1284813.2</v>
      </c>
      <c r="H148" s="14">
        <v>0.86250000000000004</v>
      </c>
      <c r="I148" s="13">
        <f t="shared" si="9"/>
        <v>17666.181499999995</v>
      </c>
      <c r="J148" s="13">
        <f t="shared" si="10"/>
        <v>176661.81499999994</v>
      </c>
    </row>
    <row r="149" spans="1:10" x14ac:dyDescent="0.35">
      <c r="A149" s="8"/>
      <c r="B149" s="24" t="s">
        <v>3</v>
      </c>
      <c r="C149" s="21" t="s">
        <v>265</v>
      </c>
      <c r="D149" s="21" t="s">
        <v>202</v>
      </c>
      <c r="E149" s="24" t="s">
        <v>266</v>
      </c>
      <c r="F149" s="13">
        <f t="shared" si="8"/>
        <v>8384</v>
      </c>
      <c r="G149" s="13">
        <v>167680</v>
      </c>
      <c r="H149" s="14">
        <v>0.86250000000000004</v>
      </c>
      <c r="I149" s="13">
        <f t="shared" si="9"/>
        <v>1152.8</v>
      </c>
      <c r="J149" s="13">
        <f t="shared" si="10"/>
        <v>23056</v>
      </c>
    </row>
    <row r="150" spans="1:10" x14ac:dyDescent="0.35">
      <c r="A150" s="8"/>
      <c r="B150" s="24" t="s">
        <v>3</v>
      </c>
      <c r="C150" s="21" t="s">
        <v>264</v>
      </c>
      <c r="D150" s="21" t="s">
        <v>203</v>
      </c>
      <c r="E150" s="24" t="s">
        <v>204</v>
      </c>
      <c r="F150" s="13">
        <f t="shared" si="8"/>
        <v>3180</v>
      </c>
      <c r="G150" s="13">
        <v>31800</v>
      </c>
      <c r="H150" s="14">
        <v>0.86250000000000004</v>
      </c>
      <c r="I150" s="13">
        <f t="shared" si="9"/>
        <v>437.25</v>
      </c>
      <c r="J150" s="13">
        <f t="shared" si="10"/>
        <v>4372.5</v>
      </c>
    </row>
    <row r="151" spans="1:10" x14ac:dyDescent="0.35">
      <c r="A151" s="8"/>
      <c r="B151" s="24" t="s">
        <v>3</v>
      </c>
      <c r="C151" s="21" t="s">
        <v>264</v>
      </c>
      <c r="D151" s="21" t="s">
        <v>205</v>
      </c>
      <c r="E151" s="24" t="s">
        <v>206</v>
      </c>
      <c r="F151" s="13">
        <f t="shared" si="8"/>
        <v>3180</v>
      </c>
      <c r="G151" s="13">
        <v>31800</v>
      </c>
      <c r="H151" s="14">
        <v>0.86250000000000004</v>
      </c>
      <c r="I151" s="13">
        <f t="shared" si="9"/>
        <v>437.25</v>
      </c>
      <c r="J151" s="13">
        <f t="shared" si="10"/>
        <v>4372.5</v>
      </c>
    </row>
    <row r="152" spans="1:10" x14ac:dyDescent="0.35">
      <c r="A152" s="8"/>
      <c r="B152" s="24" t="s">
        <v>3</v>
      </c>
      <c r="C152" s="21" t="s">
        <v>264</v>
      </c>
      <c r="D152" s="21" t="s">
        <v>207</v>
      </c>
      <c r="E152" s="24" t="s">
        <v>208</v>
      </c>
      <c r="F152" s="13">
        <f t="shared" si="8"/>
        <v>3645</v>
      </c>
      <c r="G152" s="13">
        <v>36450</v>
      </c>
      <c r="H152" s="14">
        <v>0.86250000000000004</v>
      </c>
      <c r="I152" s="13">
        <f t="shared" si="9"/>
        <v>501.1875</v>
      </c>
      <c r="J152" s="13">
        <f t="shared" si="10"/>
        <v>5011.875</v>
      </c>
    </row>
    <row r="153" spans="1:10" x14ac:dyDescent="0.35">
      <c r="A153" s="8"/>
      <c r="B153" s="24" t="s">
        <v>3</v>
      </c>
      <c r="C153" s="21" t="s">
        <v>264</v>
      </c>
      <c r="D153" s="21" t="s">
        <v>20</v>
      </c>
      <c r="E153" s="24" t="s">
        <v>21</v>
      </c>
      <c r="F153" s="13">
        <f t="shared" si="8"/>
        <v>0</v>
      </c>
      <c r="G153" s="13">
        <v>0</v>
      </c>
      <c r="H153" s="14">
        <v>0.86250000000000004</v>
      </c>
      <c r="I153" s="13">
        <f t="shared" si="9"/>
        <v>0</v>
      </c>
      <c r="J153" s="13">
        <f t="shared" si="10"/>
        <v>0</v>
      </c>
    </row>
    <row r="154" spans="1:10" x14ac:dyDescent="0.35">
      <c r="A154" s="8"/>
      <c r="B154" s="24" t="s">
        <v>3</v>
      </c>
      <c r="C154" s="21" t="s">
        <v>264</v>
      </c>
      <c r="D154" s="21" t="s">
        <v>20</v>
      </c>
      <c r="E154" s="24" t="s">
        <v>21</v>
      </c>
      <c r="F154" s="13">
        <f t="shared" si="8"/>
        <v>0</v>
      </c>
      <c r="G154" s="13">
        <v>0</v>
      </c>
      <c r="H154" s="14">
        <v>0.86250000000000004</v>
      </c>
      <c r="I154" s="13">
        <f t="shared" si="9"/>
        <v>0</v>
      </c>
      <c r="J154" s="13">
        <f t="shared" si="10"/>
        <v>0</v>
      </c>
    </row>
    <row r="155" spans="1:10" x14ac:dyDescent="0.35">
      <c r="A155" s="8"/>
      <c r="B155" s="24" t="s">
        <v>5</v>
      </c>
      <c r="C155" s="21" t="s">
        <v>264</v>
      </c>
      <c r="D155" s="21" t="s">
        <v>167</v>
      </c>
      <c r="E155" s="24" t="s">
        <v>11</v>
      </c>
      <c r="F155" s="13">
        <f t="shared" si="8"/>
        <v>0.02</v>
      </c>
      <c r="G155" s="13">
        <v>0.2</v>
      </c>
      <c r="H155" s="14">
        <v>0.86250000000000004</v>
      </c>
      <c r="I155" s="13">
        <f t="shared" si="9"/>
        <v>2.7499999999999998E-3</v>
      </c>
      <c r="J155" s="13">
        <f t="shared" si="10"/>
        <v>2.7499999999999997E-2</v>
      </c>
    </row>
    <row r="156" spans="1:10" x14ac:dyDescent="0.35">
      <c r="A156" s="8"/>
      <c r="B156" s="24" t="s">
        <v>5</v>
      </c>
      <c r="C156" s="21" t="s">
        <v>264</v>
      </c>
      <c r="D156" s="21" t="s">
        <v>22</v>
      </c>
      <c r="E156" s="24" t="s">
        <v>23</v>
      </c>
      <c r="F156" s="13">
        <f t="shared" si="8"/>
        <v>49977.94</v>
      </c>
      <c r="G156" s="13">
        <v>499779.4</v>
      </c>
      <c r="H156" s="14">
        <v>0.86250000000000004</v>
      </c>
      <c r="I156" s="13">
        <f t="shared" si="9"/>
        <v>6871.9667499999978</v>
      </c>
      <c r="J156" s="13">
        <f t="shared" si="10"/>
        <v>68719.667499999981</v>
      </c>
    </row>
    <row r="157" spans="1:10" x14ac:dyDescent="0.35">
      <c r="A157" s="8"/>
      <c r="B157" s="24" t="s">
        <v>5</v>
      </c>
      <c r="C157" s="21" t="s">
        <v>264</v>
      </c>
      <c r="D157" s="21" t="s">
        <v>24</v>
      </c>
      <c r="E157" s="24" t="s">
        <v>25</v>
      </c>
      <c r="F157" s="13">
        <f t="shared" si="8"/>
        <v>64256.259999999995</v>
      </c>
      <c r="G157" s="13">
        <v>642562.6</v>
      </c>
      <c r="H157" s="14">
        <v>0.86250000000000004</v>
      </c>
      <c r="I157" s="13">
        <f t="shared" si="9"/>
        <v>8835.2357499999925</v>
      </c>
      <c r="J157" s="13">
        <f t="shared" si="10"/>
        <v>88352.357499999925</v>
      </c>
    </row>
    <row r="158" spans="1:10" x14ac:dyDescent="0.35">
      <c r="A158" s="8"/>
      <c r="B158" s="24" t="s">
        <v>5</v>
      </c>
      <c r="C158" s="21" t="s">
        <v>264</v>
      </c>
      <c r="D158" s="21" t="s">
        <v>26</v>
      </c>
      <c r="E158" s="24" t="s">
        <v>12</v>
      </c>
      <c r="F158" s="13">
        <f t="shared" si="8"/>
        <v>33029.040000000001</v>
      </c>
      <c r="G158" s="13">
        <v>330290.40000000002</v>
      </c>
      <c r="H158" s="14">
        <v>0.86250000000000004</v>
      </c>
      <c r="I158" s="13">
        <f t="shared" si="9"/>
        <v>4541.4929999999995</v>
      </c>
      <c r="J158" s="13">
        <f t="shared" si="10"/>
        <v>45414.929999999993</v>
      </c>
    </row>
    <row r="159" spans="1:10" x14ac:dyDescent="0.35">
      <c r="A159" s="8"/>
      <c r="B159" s="24" t="s">
        <v>5</v>
      </c>
      <c r="C159" s="21" t="s">
        <v>264</v>
      </c>
      <c r="D159" s="21" t="s">
        <v>45</v>
      </c>
      <c r="E159" s="24" t="s">
        <v>13</v>
      </c>
      <c r="F159" s="13">
        <f t="shared" si="8"/>
        <v>11234.58</v>
      </c>
      <c r="G159" s="13">
        <v>112345.8</v>
      </c>
      <c r="H159" s="14">
        <v>0.86250000000000004</v>
      </c>
      <c r="I159" s="13">
        <f t="shared" si="9"/>
        <v>1544.7547500000001</v>
      </c>
      <c r="J159" s="13">
        <f t="shared" si="10"/>
        <v>15447.547500000001</v>
      </c>
    </row>
    <row r="160" spans="1:10" x14ac:dyDescent="0.35">
      <c r="A160" s="8"/>
      <c r="B160" s="24" t="s">
        <v>5</v>
      </c>
      <c r="C160" s="21" t="s">
        <v>264</v>
      </c>
      <c r="D160" s="21" t="s">
        <v>59</v>
      </c>
      <c r="E160" s="24" t="s">
        <v>60</v>
      </c>
      <c r="F160" s="13">
        <f t="shared" si="8"/>
        <v>0</v>
      </c>
      <c r="G160" s="13">
        <v>0</v>
      </c>
      <c r="H160" s="14">
        <v>0.86250000000000004</v>
      </c>
      <c r="I160" s="13">
        <f t="shared" si="9"/>
        <v>0</v>
      </c>
      <c r="J160" s="13">
        <f t="shared" si="10"/>
        <v>0</v>
      </c>
    </row>
    <row r="161" spans="1:10" x14ac:dyDescent="0.35">
      <c r="A161" s="8"/>
      <c r="B161" s="24" t="s">
        <v>3</v>
      </c>
      <c r="C161" s="21" t="s">
        <v>158</v>
      </c>
      <c r="D161" s="21" t="s">
        <v>209</v>
      </c>
      <c r="E161" s="24" t="s">
        <v>210</v>
      </c>
      <c r="F161" s="13">
        <f t="shared" si="8"/>
        <v>6435</v>
      </c>
      <c r="G161" s="13">
        <v>19305</v>
      </c>
      <c r="H161" s="14">
        <v>0.86250000000000004</v>
      </c>
      <c r="I161" s="13">
        <f t="shared" si="9"/>
        <v>884.8125</v>
      </c>
      <c r="J161" s="13">
        <f t="shared" si="10"/>
        <v>2654.4375</v>
      </c>
    </row>
    <row r="162" spans="1:10" x14ac:dyDescent="0.35">
      <c r="A162" s="8"/>
      <c r="B162" s="24" t="s">
        <v>3</v>
      </c>
      <c r="C162" s="21" t="s">
        <v>158</v>
      </c>
      <c r="D162" s="21" t="s">
        <v>170</v>
      </c>
      <c r="E162" s="24" t="s">
        <v>171</v>
      </c>
      <c r="F162" s="13">
        <f t="shared" si="8"/>
        <v>156.33000000000001</v>
      </c>
      <c r="G162" s="13">
        <v>468.99</v>
      </c>
      <c r="H162" s="14">
        <v>0.86250000000000004</v>
      </c>
      <c r="I162" s="13">
        <f t="shared" si="9"/>
        <v>21.495374999999985</v>
      </c>
      <c r="J162" s="13">
        <f t="shared" si="10"/>
        <v>64.486124999999959</v>
      </c>
    </row>
    <row r="163" spans="1:10" x14ac:dyDescent="0.35">
      <c r="A163" s="8"/>
      <c r="B163" s="24" t="s">
        <v>5</v>
      </c>
      <c r="C163" s="21" t="s">
        <v>158</v>
      </c>
      <c r="D163" s="21" t="s">
        <v>44</v>
      </c>
      <c r="E163" s="24" t="s">
        <v>11</v>
      </c>
      <c r="F163" s="13">
        <f t="shared" si="8"/>
        <v>0.02</v>
      </c>
      <c r="G163" s="13">
        <v>0.06</v>
      </c>
      <c r="H163" s="14">
        <v>0.86250000000000004</v>
      </c>
      <c r="I163" s="13">
        <f t="shared" si="9"/>
        <v>2.7500000000000003E-3</v>
      </c>
      <c r="J163" s="13">
        <f t="shared" si="10"/>
        <v>8.2500000000000004E-3</v>
      </c>
    </row>
    <row r="164" spans="1:10" x14ac:dyDescent="0.35">
      <c r="A164" s="8"/>
      <c r="B164" s="24" t="s">
        <v>5</v>
      </c>
      <c r="C164" s="21" t="s">
        <v>158</v>
      </c>
      <c r="D164" s="21" t="s">
        <v>22</v>
      </c>
      <c r="E164" s="24" t="s">
        <v>23</v>
      </c>
      <c r="F164" s="13">
        <f t="shared" si="8"/>
        <v>1845.54</v>
      </c>
      <c r="G164" s="13">
        <v>5536.62</v>
      </c>
      <c r="H164" s="14">
        <v>0.86250000000000004</v>
      </c>
      <c r="I164" s="13">
        <f t="shared" si="9"/>
        <v>253.76174999999998</v>
      </c>
      <c r="J164" s="13">
        <f t="shared" si="10"/>
        <v>761.28524999999991</v>
      </c>
    </row>
    <row r="165" spans="1:10" x14ac:dyDescent="0.35">
      <c r="A165" s="8"/>
      <c r="B165" s="24" t="s">
        <v>5</v>
      </c>
      <c r="C165" s="21" t="s">
        <v>158</v>
      </c>
      <c r="D165" s="21" t="s">
        <v>24</v>
      </c>
      <c r="E165" s="24" t="s">
        <v>25</v>
      </c>
      <c r="F165" s="13">
        <f t="shared" si="8"/>
        <v>2372.79</v>
      </c>
      <c r="G165" s="13">
        <v>7118.37</v>
      </c>
      <c r="H165" s="14">
        <v>0.86250000000000004</v>
      </c>
      <c r="I165" s="13">
        <f t="shared" si="9"/>
        <v>326.25862499999977</v>
      </c>
      <c r="J165" s="13">
        <f t="shared" si="10"/>
        <v>978.77587499999936</v>
      </c>
    </row>
    <row r="166" spans="1:10" x14ac:dyDescent="0.35">
      <c r="A166" s="8"/>
      <c r="B166" s="24" t="s">
        <v>3</v>
      </c>
      <c r="C166" s="21" t="s">
        <v>158</v>
      </c>
      <c r="D166" s="21" t="s">
        <v>20</v>
      </c>
      <c r="E166" s="24" t="s">
        <v>21</v>
      </c>
      <c r="F166" s="13">
        <f t="shared" si="8"/>
        <v>0</v>
      </c>
      <c r="G166" s="13">
        <v>0</v>
      </c>
      <c r="H166" s="14">
        <v>0.86250000000000004</v>
      </c>
      <c r="I166" s="13">
        <f t="shared" si="9"/>
        <v>0</v>
      </c>
      <c r="J166" s="13">
        <f t="shared" si="10"/>
        <v>0</v>
      </c>
    </row>
    <row r="167" spans="1:10" x14ac:dyDescent="0.35">
      <c r="A167" s="8"/>
      <c r="B167" s="24" t="s">
        <v>4</v>
      </c>
      <c r="C167" s="21" t="s">
        <v>264</v>
      </c>
      <c r="D167" s="21" t="s">
        <v>172</v>
      </c>
      <c r="E167" s="24" t="s">
        <v>173</v>
      </c>
      <c r="F167" s="13">
        <f t="shared" si="8"/>
        <v>0.01</v>
      </c>
      <c r="G167" s="13">
        <v>0.1</v>
      </c>
      <c r="H167" s="14">
        <v>0.86250000000000004</v>
      </c>
      <c r="I167" s="13">
        <f t="shared" si="9"/>
        <v>1.3749999999999999E-3</v>
      </c>
      <c r="J167" s="13">
        <f t="shared" si="10"/>
        <v>1.3749999999999998E-2</v>
      </c>
    </row>
    <row r="168" spans="1:10" x14ac:dyDescent="0.35">
      <c r="A168" s="8"/>
      <c r="B168" s="24" t="s">
        <v>3</v>
      </c>
      <c r="C168" s="21" t="s">
        <v>264</v>
      </c>
      <c r="D168" s="21" t="s">
        <v>20</v>
      </c>
      <c r="E168" s="24" t="s">
        <v>21</v>
      </c>
      <c r="F168" s="13">
        <f t="shared" si="8"/>
        <v>0</v>
      </c>
      <c r="G168" s="13">
        <v>0</v>
      </c>
      <c r="H168" s="14">
        <v>0.86250000000000004</v>
      </c>
      <c r="I168" s="13">
        <f t="shared" si="9"/>
        <v>0</v>
      </c>
      <c r="J168" s="13">
        <f t="shared" si="10"/>
        <v>0</v>
      </c>
    </row>
    <row r="169" spans="1:10" x14ac:dyDescent="0.35">
      <c r="A169" s="8"/>
      <c r="B169" s="24" t="s">
        <v>3</v>
      </c>
      <c r="C169" s="21" t="s">
        <v>264</v>
      </c>
      <c r="D169" s="21" t="s">
        <v>20</v>
      </c>
      <c r="E169" s="24" t="s">
        <v>21</v>
      </c>
      <c r="F169" s="13">
        <f t="shared" si="8"/>
        <v>0</v>
      </c>
      <c r="G169" s="13">
        <v>0</v>
      </c>
      <c r="H169" s="14">
        <v>0.86250000000000004</v>
      </c>
      <c r="I169" s="13">
        <f t="shared" si="9"/>
        <v>0</v>
      </c>
      <c r="J169" s="13">
        <f t="shared" si="10"/>
        <v>0</v>
      </c>
    </row>
    <row r="170" spans="1:10" x14ac:dyDescent="0.35">
      <c r="A170" s="8"/>
      <c r="B170" s="24" t="s">
        <v>4</v>
      </c>
      <c r="C170" s="21" t="s">
        <v>264</v>
      </c>
      <c r="D170" s="21" t="s">
        <v>211</v>
      </c>
      <c r="E170" s="24" t="s">
        <v>212</v>
      </c>
      <c r="F170" s="13">
        <f t="shared" si="8"/>
        <v>0</v>
      </c>
      <c r="G170" s="13">
        <v>0</v>
      </c>
      <c r="H170" s="14">
        <v>0.86250000000000004</v>
      </c>
      <c r="I170" s="13">
        <f t="shared" si="9"/>
        <v>0</v>
      </c>
      <c r="J170" s="13">
        <f t="shared" si="10"/>
        <v>0</v>
      </c>
    </row>
    <row r="171" spans="1:10" x14ac:dyDescent="0.35">
      <c r="A171" s="8"/>
      <c r="B171" s="24" t="s">
        <v>4</v>
      </c>
      <c r="C171" s="21" t="s">
        <v>264</v>
      </c>
      <c r="D171" s="21" t="s">
        <v>213</v>
      </c>
      <c r="E171" s="24" t="s">
        <v>214</v>
      </c>
      <c r="F171" s="13">
        <f t="shared" si="8"/>
        <v>0</v>
      </c>
      <c r="G171" s="13">
        <v>0</v>
      </c>
      <c r="H171" s="14">
        <v>0.86250000000000004</v>
      </c>
      <c r="I171" s="13">
        <f t="shared" si="9"/>
        <v>0</v>
      </c>
      <c r="J171" s="13">
        <f t="shared" si="10"/>
        <v>0</v>
      </c>
    </row>
    <row r="172" spans="1:10" x14ac:dyDescent="0.35">
      <c r="A172" s="8"/>
      <c r="B172" s="24" t="s">
        <v>4</v>
      </c>
      <c r="C172" s="21" t="s">
        <v>264</v>
      </c>
      <c r="D172" s="21" t="s">
        <v>215</v>
      </c>
      <c r="E172" s="24" t="s">
        <v>216</v>
      </c>
      <c r="F172" s="13">
        <f t="shared" si="8"/>
        <v>5815</v>
      </c>
      <c r="G172" s="13">
        <v>58150</v>
      </c>
      <c r="H172" s="14">
        <v>0.86250000000000004</v>
      </c>
      <c r="I172" s="13">
        <f t="shared" si="9"/>
        <v>799.5625</v>
      </c>
      <c r="J172" s="13">
        <f t="shared" si="10"/>
        <v>7995.625</v>
      </c>
    </row>
    <row r="173" spans="1:10" x14ac:dyDescent="0.35">
      <c r="A173" s="8"/>
      <c r="B173" s="24" t="s">
        <v>4</v>
      </c>
      <c r="C173" s="21" t="s">
        <v>264</v>
      </c>
      <c r="D173" s="21" t="s">
        <v>217</v>
      </c>
      <c r="E173" s="24" t="s">
        <v>218</v>
      </c>
      <c r="F173" s="13">
        <f t="shared" si="8"/>
        <v>0</v>
      </c>
      <c r="G173" s="13">
        <v>0</v>
      </c>
      <c r="H173" s="14">
        <v>0.86250000000000004</v>
      </c>
      <c r="I173" s="13">
        <f t="shared" si="9"/>
        <v>0</v>
      </c>
      <c r="J173" s="13">
        <f t="shared" si="10"/>
        <v>0</v>
      </c>
    </row>
    <row r="174" spans="1:10" x14ac:dyDescent="0.35">
      <c r="A174" s="8"/>
      <c r="B174" s="24" t="s">
        <v>4</v>
      </c>
      <c r="C174" s="21" t="s">
        <v>264</v>
      </c>
      <c r="D174" s="21" t="s">
        <v>219</v>
      </c>
      <c r="E174" s="24" t="s">
        <v>220</v>
      </c>
      <c r="F174" s="13">
        <f t="shared" si="8"/>
        <v>0</v>
      </c>
      <c r="G174" s="13">
        <v>0</v>
      </c>
      <c r="H174" s="14">
        <v>0.86250000000000004</v>
      </c>
      <c r="I174" s="13">
        <f t="shared" si="9"/>
        <v>0</v>
      </c>
      <c r="J174" s="13">
        <f t="shared" si="10"/>
        <v>0</v>
      </c>
    </row>
    <row r="175" spans="1:10" x14ac:dyDescent="0.35">
      <c r="A175" s="8"/>
      <c r="B175" s="24" t="s">
        <v>4</v>
      </c>
      <c r="C175" s="21" t="s">
        <v>267</v>
      </c>
      <c r="D175" s="21" t="s">
        <v>221</v>
      </c>
      <c r="E175" s="24" t="s">
        <v>222</v>
      </c>
      <c r="F175" s="13">
        <f t="shared" si="8"/>
        <v>0</v>
      </c>
      <c r="G175" s="13">
        <v>0</v>
      </c>
      <c r="H175" s="14">
        <v>0.86250000000000004</v>
      </c>
      <c r="I175" s="13">
        <f t="shared" si="9"/>
        <v>0</v>
      </c>
      <c r="J175" s="13">
        <f t="shared" si="10"/>
        <v>0</v>
      </c>
    </row>
    <row r="176" spans="1:10" x14ac:dyDescent="0.35">
      <c r="A176" s="8"/>
      <c r="B176" s="24" t="s">
        <v>4</v>
      </c>
      <c r="C176" s="21" t="s">
        <v>267</v>
      </c>
      <c r="D176" s="21" t="s">
        <v>223</v>
      </c>
      <c r="E176" s="24" t="s">
        <v>224</v>
      </c>
      <c r="F176" s="13">
        <f t="shared" si="8"/>
        <v>93.62</v>
      </c>
      <c r="G176" s="13">
        <v>374480</v>
      </c>
      <c r="H176" s="14">
        <v>0.86250000000000004</v>
      </c>
      <c r="I176" s="13">
        <f t="shared" si="9"/>
        <v>12.87275</v>
      </c>
      <c r="J176" s="13">
        <f t="shared" si="10"/>
        <v>51491</v>
      </c>
    </row>
    <row r="177" spans="1:10" x14ac:dyDescent="0.35">
      <c r="A177" s="8"/>
      <c r="B177" s="24" t="s">
        <v>4</v>
      </c>
      <c r="C177" s="21" t="s">
        <v>267</v>
      </c>
      <c r="D177" s="21" t="s">
        <v>225</v>
      </c>
      <c r="E177" s="24" t="s">
        <v>226</v>
      </c>
      <c r="F177" s="13">
        <f t="shared" si="8"/>
        <v>0</v>
      </c>
      <c r="G177" s="13">
        <v>0</v>
      </c>
      <c r="H177" s="14">
        <v>0.86250000000000004</v>
      </c>
      <c r="I177" s="13">
        <f t="shared" si="9"/>
        <v>0</v>
      </c>
      <c r="J177" s="13">
        <f t="shared" si="10"/>
        <v>0</v>
      </c>
    </row>
    <row r="178" spans="1:10" x14ac:dyDescent="0.35">
      <c r="A178" s="8"/>
      <c r="B178" s="24" t="s">
        <v>4</v>
      </c>
      <c r="C178" s="21" t="s">
        <v>267</v>
      </c>
      <c r="D178" s="21" t="s">
        <v>227</v>
      </c>
      <c r="E178" s="24" t="s">
        <v>228</v>
      </c>
      <c r="F178" s="13">
        <f t="shared" si="8"/>
        <v>0</v>
      </c>
      <c r="G178" s="13">
        <v>0</v>
      </c>
      <c r="H178" s="14">
        <v>0.86250000000000004</v>
      </c>
      <c r="I178" s="13">
        <f t="shared" si="9"/>
        <v>0</v>
      </c>
      <c r="J178" s="13">
        <f t="shared" si="10"/>
        <v>0</v>
      </c>
    </row>
    <row r="179" spans="1:10" x14ac:dyDescent="0.35">
      <c r="A179" s="8"/>
      <c r="B179" s="24" t="s">
        <v>4</v>
      </c>
      <c r="C179" s="21" t="s">
        <v>267</v>
      </c>
      <c r="D179" s="21" t="s">
        <v>229</v>
      </c>
      <c r="E179" s="24" t="s">
        <v>230</v>
      </c>
      <c r="F179" s="13">
        <f t="shared" si="8"/>
        <v>0</v>
      </c>
      <c r="G179" s="13">
        <v>0</v>
      </c>
      <c r="H179" s="14">
        <v>0.86250000000000004</v>
      </c>
      <c r="I179" s="13">
        <f t="shared" si="9"/>
        <v>0</v>
      </c>
      <c r="J179" s="13">
        <f t="shared" si="10"/>
        <v>0</v>
      </c>
    </row>
    <row r="180" spans="1:10" x14ac:dyDescent="0.35">
      <c r="A180" s="8"/>
      <c r="B180" s="24" t="s">
        <v>4</v>
      </c>
      <c r="C180" s="21" t="s">
        <v>264</v>
      </c>
      <c r="D180" s="21" t="s">
        <v>231</v>
      </c>
      <c r="E180" s="24" t="s">
        <v>232</v>
      </c>
      <c r="F180" s="13">
        <f t="shared" si="8"/>
        <v>0</v>
      </c>
      <c r="G180" s="13">
        <v>0</v>
      </c>
      <c r="H180" s="14">
        <v>0.86250000000000004</v>
      </c>
      <c r="I180" s="13">
        <f t="shared" si="9"/>
        <v>0</v>
      </c>
      <c r="J180" s="13">
        <f t="shared" si="10"/>
        <v>0</v>
      </c>
    </row>
    <row r="181" spans="1:10" x14ac:dyDescent="0.35">
      <c r="A181" s="8"/>
      <c r="B181" s="24" t="s">
        <v>4</v>
      </c>
      <c r="C181" s="21" t="s">
        <v>267</v>
      </c>
      <c r="D181" s="21" t="s">
        <v>233</v>
      </c>
      <c r="E181" s="24" t="s">
        <v>234</v>
      </c>
      <c r="F181" s="13">
        <f t="shared" si="8"/>
        <v>0</v>
      </c>
      <c r="G181" s="13">
        <v>0</v>
      </c>
      <c r="H181" s="14">
        <v>0.86250000000000004</v>
      </c>
      <c r="I181" s="13">
        <f t="shared" si="9"/>
        <v>0</v>
      </c>
      <c r="J181" s="13">
        <f t="shared" si="10"/>
        <v>0</v>
      </c>
    </row>
    <row r="182" spans="1:10" x14ac:dyDescent="0.35">
      <c r="A182" s="8"/>
      <c r="B182" s="24" t="s">
        <v>4</v>
      </c>
      <c r="C182" s="21" t="s">
        <v>264</v>
      </c>
      <c r="D182" s="21" t="s">
        <v>27</v>
      </c>
      <c r="E182" s="24" t="s">
        <v>28</v>
      </c>
      <c r="F182" s="13">
        <f t="shared" si="8"/>
        <v>0</v>
      </c>
      <c r="G182" s="13">
        <v>0</v>
      </c>
      <c r="H182" s="14">
        <v>0.86250000000000004</v>
      </c>
      <c r="I182" s="13">
        <f t="shared" si="9"/>
        <v>0</v>
      </c>
      <c r="J182" s="13">
        <f t="shared" si="10"/>
        <v>0</v>
      </c>
    </row>
    <row r="183" spans="1:10" x14ac:dyDescent="0.35">
      <c r="A183" s="8"/>
      <c r="B183" s="24" t="s">
        <v>3</v>
      </c>
      <c r="C183" s="21" t="s">
        <v>264</v>
      </c>
      <c r="D183" s="21" t="s">
        <v>20</v>
      </c>
      <c r="E183" s="24" t="s">
        <v>21</v>
      </c>
      <c r="F183" s="13">
        <f t="shared" si="8"/>
        <v>0</v>
      </c>
      <c r="G183" s="13">
        <v>0</v>
      </c>
      <c r="H183" s="14">
        <v>0.86250000000000004</v>
      </c>
      <c r="I183" s="13">
        <f t="shared" si="9"/>
        <v>0</v>
      </c>
      <c r="J183" s="13">
        <f t="shared" si="10"/>
        <v>0</v>
      </c>
    </row>
    <row r="184" spans="1:10" x14ac:dyDescent="0.35">
      <c r="A184" s="8"/>
      <c r="B184" s="24" t="s">
        <v>6</v>
      </c>
      <c r="C184" s="21" t="s">
        <v>264</v>
      </c>
      <c r="D184" s="21" t="s">
        <v>29</v>
      </c>
      <c r="E184" s="24" t="s">
        <v>30</v>
      </c>
      <c r="F184" s="13">
        <f t="shared" si="8"/>
        <v>43263.88</v>
      </c>
      <c r="G184" s="13">
        <v>432638.8</v>
      </c>
      <c r="H184" s="14">
        <v>0.86250000000000004</v>
      </c>
      <c r="I184" s="13">
        <f t="shared" si="9"/>
        <v>5948.7834999999959</v>
      </c>
      <c r="J184" s="13">
        <f t="shared" si="10"/>
        <v>59487.834999999963</v>
      </c>
    </row>
    <row r="185" spans="1:10" x14ac:dyDescent="0.35">
      <c r="A185" s="8"/>
      <c r="B185" s="24" t="s">
        <v>3</v>
      </c>
      <c r="C185" s="21" t="s">
        <v>264</v>
      </c>
      <c r="D185" s="21" t="s">
        <v>20</v>
      </c>
      <c r="E185" s="24" t="s">
        <v>21</v>
      </c>
      <c r="F185" s="13">
        <f t="shared" si="8"/>
        <v>0</v>
      </c>
      <c r="G185" s="13">
        <v>0</v>
      </c>
      <c r="H185" s="14">
        <v>0.86250000000000004</v>
      </c>
      <c r="I185" s="13">
        <f t="shared" si="9"/>
        <v>0</v>
      </c>
      <c r="J185" s="13">
        <f t="shared" si="10"/>
        <v>0</v>
      </c>
    </row>
    <row r="186" spans="1:10" x14ac:dyDescent="0.35">
      <c r="A186" s="8"/>
      <c r="B186" s="24" t="s">
        <v>4</v>
      </c>
      <c r="C186" s="21" t="s">
        <v>264</v>
      </c>
      <c r="D186" s="21" t="s">
        <v>172</v>
      </c>
      <c r="E186" s="24" t="s">
        <v>173</v>
      </c>
      <c r="F186" s="13">
        <f t="shared" si="8"/>
        <v>0.01</v>
      </c>
      <c r="G186" s="13">
        <v>0.1</v>
      </c>
      <c r="H186" s="14">
        <v>0.86250000000000004</v>
      </c>
      <c r="I186" s="13">
        <f t="shared" si="9"/>
        <v>1.3749999999999999E-3</v>
      </c>
      <c r="J186" s="13">
        <f t="shared" si="10"/>
        <v>1.3749999999999998E-2</v>
      </c>
    </row>
    <row r="187" spans="1:10" x14ac:dyDescent="0.35">
      <c r="A187" s="8"/>
      <c r="B187" s="24" t="s">
        <v>3</v>
      </c>
      <c r="C187" s="21" t="s">
        <v>264</v>
      </c>
      <c r="D187" s="21" t="s">
        <v>20</v>
      </c>
      <c r="E187" s="24" t="s">
        <v>21</v>
      </c>
      <c r="F187" s="13">
        <f t="shared" si="8"/>
        <v>0</v>
      </c>
      <c r="G187" s="13">
        <v>0</v>
      </c>
      <c r="H187" s="14">
        <v>0.86250000000000004</v>
      </c>
      <c r="I187" s="13">
        <f t="shared" si="9"/>
        <v>0</v>
      </c>
      <c r="J187" s="13">
        <f t="shared" si="10"/>
        <v>0</v>
      </c>
    </row>
    <row r="188" spans="1:10" x14ac:dyDescent="0.35">
      <c r="A188" s="8"/>
      <c r="B188" s="24" t="s">
        <v>3</v>
      </c>
      <c r="C188" s="21" t="s">
        <v>264</v>
      </c>
      <c r="D188" s="21" t="s">
        <v>20</v>
      </c>
      <c r="E188" s="24" t="s">
        <v>21</v>
      </c>
      <c r="F188" s="13">
        <f t="shared" si="8"/>
        <v>0</v>
      </c>
      <c r="G188" s="13">
        <v>0</v>
      </c>
      <c r="H188" s="14">
        <v>0.86250000000000004</v>
      </c>
      <c r="I188" s="13">
        <f t="shared" si="9"/>
        <v>0</v>
      </c>
      <c r="J188" s="13">
        <f t="shared" si="10"/>
        <v>0</v>
      </c>
    </row>
    <row r="189" spans="1:10" x14ac:dyDescent="0.35">
      <c r="A189" s="8"/>
      <c r="B189" s="24" t="s">
        <v>4</v>
      </c>
      <c r="C189" s="21" t="s">
        <v>264</v>
      </c>
      <c r="D189" s="21" t="s">
        <v>268</v>
      </c>
      <c r="E189" s="24" t="s">
        <v>269</v>
      </c>
      <c r="F189" s="13">
        <f t="shared" ref="F189:F229" si="11">G189/C189</f>
        <v>28453.01</v>
      </c>
      <c r="G189" s="13">
        <v>284530.09999999998</v>
      </c>
      <c r="H189" s="14">
        <v>0.86250000000000004</v>
      </c>
      <c r="I189" s="13">
        <f t="shared" ref="I189:I229" si="12">J189/C189</f>
        <v>3912.2888749999984</v>
      </c>
      <c r="J189" s="13">
        <f t="shared" si="10"/>
        <v>39122.888749999984</v>
      </c>
    </row>
    <row r="190" spans="1:10" x14ac:dyDescent="0.35">
      <c r="A190" s="8"/>
      <c r="B190" s="24" t="s">
        <v>3</v>
      </c>
      <c r="C190" s="21" t="s">
        <v>264</v>
      </c>
      <c r="D190" s="21" t="s">
        <v>20</v>
      </c>
      <c r="E190" s="24" t="s">
        <v>21</v>
      </c>
      <c r="F190" s="13">
        <f t="shared" si="11"/>
        <v>0</v>
      </c>
      <c r="G190" s="13">
        <v>0</v>
      </c>
      <c r="H190" s="14">
        <v>0.86250000000000004</v>
      </c>
      <c r="I190" s="13">
        <f t="shared" si="12"/>
        <v>0</v>
      </c>
      <c r="J190" s="13">
        <f t="shared" si="10"/>
        <v>0</v>
      </c>
    </row>
    <row r="191" spans="1:10" x14ac:dyDescent="0.35">
      <c r="A191" s="8"/>
      <c r="B191" s="24" t="s">
        <v>4</v>
      </c>
      <c r="C191" s="21" t="s">
        <v>267</v>
      </c>
      <c r="D191" s="21" t="s">
        <v>235</v>
      </c>
      <c r="E191" s="24" t="s">
        <v>270</v>
      </c>
      <c r="F191" s="13">
        <f t="shared" si="11"/>
        <v>671.71</v>
      </c>
      <c r="G191" s="13">
        <v>2686840</v>
      </c>
      <c r="H191" s="14">
        <v>0.86250000000000004</v>
      </c>
      <c r="I191" s="13">
        <f t="shared" si="12"/>
        <v>92.360124999999996</v>
      </c>
      <c r="J191" s="13">
        <f t="shared" ref="J191:J229" si="13">G191-G191*H191</f>
        <v>369440.5</v>
      </c>
    </row>
    <row r="192" spans="1:10" x14ac:dyDescent="0.35">
      <c r="A192" s="8"/>
      <c r="B192" s="24" t="s">
        <v>3</v>
      </c>
      <c r="C192" s="21" t="s">
        <v>264</v>
      </c>
      <c r="D192" s="21" t="s">
        <v>20</v>
      </c>
      <c r="E192" s="24" t="s">
        <v>21</v>
      </c>
      <c r="F192" s="13">
        <f t="shared" si="11"/>
        <v>0</v>
      </c>
      <c r="G192" s="13">
        <v>0</v>
      </c>
      <c r="H192" s="14">
        <v>0.86250000000000004</v>
      </c>
      <c r="I192" s="13">
        <f t="shared" si="12"/>
        <v>0</v>
      </c>
      <c r="J192" s="13">
        <f t="shared" si="13"/>
        <v>0</v>
      </c>
    </row>
    <row r="193" spans="1:10" x14ac:dyDescent="0.35">
      <c r="A193" s="8"/>
      <c r="B193" s="24" t="s">
        <v>6</v>
      </c>
      <c r="C193" s="21" t="s">
        <v>264</v>
      </c>
      <c r="D193" s="21" t="s">
        <v>46</v>
      </c>
      <c r="E193" s="24" t="s">
        <v>47</v>
      </c>
      <c r="F193" s="13">
        <f t="shared" si="11"/>
        <v>178275.08000000002</v>
      </c>
      <c r="G193" s="13">
        <v>1782750.8</v>
      </c>
      <c r="H193" s="14">
        <v>0.86250000000000004</v>
      </c>
      <c r="I193" s="13">
        <f t="shared" si="12"/>
        <v>24512.823499999988</v>
      </c>
      <c r="J193" s="13">
        <f t="shared" si="13"/>
        <v>245128.23499999987</v>
      </c>
    </row>
    <row r="194" spans="1:10" x14ac:dyDescent="0.35">
      <c r="A194" s="8"/>
      <c r="B194" s="24" t="s">
        <v>3</v>
      </c>
      <c r="C194" s="21" t="s">
        <v>264</v>
      </c>
      <c r="D194" s="21" t="s">
        <v>20</v>
      </c>
      <c r="E194" s="24" t="s">
        <v>21</v>
      </c>
      <c r="F194" s="13">
        <f t="shared" si="11"/>
        <v>0</v>
      </c>
      <c r="G194" s="13">
        <v>0</v>
      </c>
      <c r="H194" s="14">
        <v>0.86250000000000004</v>
      </c>
      <c r="I194" s="13">
        <f t="shared" si="12"/>
        <v>0</v>
      </c>
      <c r="J194" s="13">
        <f t="shared" si="13"/>
        <v>0</v>
      </c>
    </row>
    <row r="195" spans="1:10" x14ac:dyDescent="0.35">
      <c r="A195" s="6">
        <v>40</v>
      </c>
      <c r="B195" s="25"/>
      <c r="C195" s="22" t="s">
        <v>260</v>
      </c>
      <c r="D195" s="22"/>
      <c r="E195" s="25" t="s">
        <v>153</v>
      </c>
      <c r="F195" s="11">
        <f t="shared" si="11"/>
        <v>222036.5</v>
      </c>
      <c r="G195" s="11">
        <f>SUM(G196:G223)</f>
        <v>2664438</v>
      </c>
      <c r="H195" s="12">
        <v>0.86250000000000004</v>
      </c>
      <c r="I195" s="11">
        <f t="shared" si="12"/>
        <v>30530.018750000007</v>
      </c>
      <c r="J195" s="11">
        <f t="shared" si="13"/>
        <v>366360.22500000009</v>
      </c>
    </row>
    <row r="196" spans="1:10" x14ac:dyDescent="0.35">
      <c r="A196" s="8"/>
      <c r="B196" s="24" t="s">
        <v>3</v>
      </c>
      <c r="C196" s="21" t="s">
        <v>260</v>
      </c>
      <c r="D196" s="21" t="s">
        <v>271</v>
      </c>
      <c r="E196" s="24" t="s">
        <v>272</v>
      </c>
      <c r="F196" s="13">
        <f t="shared" si="11"/>
        <v>76436</v>
      </c>
      <c r="G196" s="13">
        <v>917232</v>
      </c>
      <c r="H196" s="14">
        <v>0.86250000000000004</v>
      </c>
      <c r="I196" s="13">
        <f t="shared" si="12"/>
        <v>10509.949999999992</v>
      </c>
      <c r="J196" s="13">
        <f t="shared" si="13"/>
        <v>126119.39999999991</v>
      </c>
    </row>
    <row r="197" spans="1:10" x14ac:dyDescent="0.35">
      <c r="A197" s="8"/>
      <c r="B197" s="24" t="s">
        <v>3</v>
      </c>
      <c r="C197" s="21" t="s">
        <v>260</v>
      </c>
      <c r="D197" s="21" t="s">
        <v>273</v>
      </c>
      <c r="E197" s="24" t="s">
        <v>274</v>
      </c>
      <c r="F197" s="13">
        <f t="shared" si="11"/>
        <v>0</v>
      </c>
      <c r="G197" s="13">
        <v>0</v>
      </c>
      <c r="H197" s="14">
        <v>0.86250000000000004</v>
      </c>
      <c r="I197" s="13">
        <f t="shared" si="12"/>
        <v>0</v>
      </c>
      <c r="J197" s="13">
        <f t="shared" si="13"/>
        <v>0</v>
      </c>
    </row>
    <row r="198" spans="1:10" x14ac:dyDescent="0.35">
      <c r="A198" s="8"/>
      <c r="B198" s="24" t="s">
        <v>3</v>
      </c>
      <c r="C198" s="21" t="s">
        <v>260</v>
      </c>
      <c r="D198" s="21" t="s">
        <v>275</v>
      </c>
      <c r="E198" s="24" t="s">
        <v>276</v>
      </c>
      <c r="F198" s="13">
        <f t="shared" si="11"/>
        <v>250</v>
      </c>
      <c r="G198" s="13">
        <v>3000</v>
      </c>
      <c r="H198" s="14">
        <v>0.86250000000000004</v>
      </c>
      <c r="I198" s="13">
        <f t="shared" si="12"/>
        <v>34.375</v>
      </c>
      <c r="J198" s="13">
        <f t="shared" si="13"/>
        <v>412.5</v>
      </c>
    </row>
    <row r="199" spans="1:10" x14ac:dyDescent="0.35">
      <c r="A199" s="8"/>
      <c r="B199" s="24" t="s">
        <v>4</v>
      </c>
      <c r="C199" s="21" t="s">
        <v>260</v>
      </c>
      <c r="D199" s="21" t="s">
        <v>277</v>
      </c>
      <c r="E199" s="24" t="s">
        <v>278</v>
      </c>
      <c r="F199" s="13">
        <f t="shared" si="11"/>
        <v>9599</v>
      </c>
      <c r="G199" s="13">
        <v>115188</v>
      </c>
      <c r="H199" s="14">
        <v>0.86250000000000004</v>
      </c>
      <c r="I199" s="13">
        <f t="shared" si="12"/>
        <v>1319.8624999999993</v>
      </c>
      <c r="J199" s="13">
        <f t="shared" si="13"/>
        <v>15838.349999999991</v>
      </c>
    </row>
    <row r="200" spans="1:10" x14ac:dyDescent="0.35">
      <c r="A200" s="8"/>
      <c r="B200" s="24" t="s">
        <v>5</v>
      </c>
      <c r="C200" s="21" t="s">
        <v>260</v>
      </c>
      <c r="D200" s="21" t="s">
        <v>56</v>
      </c>
      <c r="E200" s="24" t="s">
        <v>11</v>
      </c>
      <c r="F200" s="13">
        <f t="shared" si="11"/>
        <v>415.08</v>
      </c>
      <c r="G200" s="13">
        <v>4980.96</v>
      </c>
      <c r="H200" s="14">
        <v>0.86250000000000004</v>
      </c>
      <c r="I200" s="13">
        <f t="shared" si="12"/>
        <v>57.073499999999967</v>
      </c>
      <c r="J200" s="13">
        <f t="shared" si="13"/>
        <v>684.88199999999961</v>
      </c>
    </row>
    <row r="201" spans="1:10" x14ac:dyDescent="0.35">
      <c r="A201" s="8"/>
      <c r="B201" s="24" t="s">
        <v>5</v>
      </c>
      <c r="C201" s="21" t="s">
        <v>260</v>
      </c>
      <c r="D201" s="21" t="s">
        <v>22</v>
      </c>
      <c r="E201" s="24" t="s">
        <v>23</v>
      </c>
      <c r="F201" s="13">
        <f t="shared" si="11"/>
        <v>20806.689999999999</v>
      </c>
      <c r="G201" s="13">
        <v>249680.28</v>
      </c>
      <c r="H201" s="14">
        <v>0.86250000000000004</v>
      </c>
      <c r="I201" s="13">
        <f t="shared" si="12"/>
        <v>2860.9198749999996</v>
      </c>
      <c r="J201" s="13">
        <f t="shared" si="13"/>
        <v>34331.038499999995</v>
      </c>
    </row>
    <row r="202" spans="1:10" x14ac:dyDescent="0.35">
      <c r="A202" s="8"/>
      <c r="B202" s="24" t="s">
        <v>5</v>
      </c>
      <c r="C202" s="21" t="s">
        <v>260</v>
      </c>
      <c r="D202" s="21" t="s">
        <v>24</v>
      </c>
      <c r="E202" s="24" t="s">
        <v>25</v>
      </c>
      <c r="F202" s="13">
        <f t="shared" si="11"/>
        <v>26008.36</v>
      </c>
      <c r="G202" s="13">
        <v>312100.32</v>
      </c>
      <c r="H202" s="14">
        <v>0.86250000000000004</v>
      </c>
      <c r="I202" s="13">
        <f t="shared" si="12"/>
        <v>3576.1494999999995</v>
      </c>
      <c r="J202" s="13">
        <f t="shared" si="13"/>
        <v>42913.793999999994</v>
      </c>
    </row>
    <row r="203" spans="1:10" x14ac:dyDescent="0.35">
      <c r="A203" s="8"/>
      <c r="B203" s="24" t="s">
        <v>5</v>
      </c>
      <c r="C203" s="21" t="s">
        <v>260</v>
      </c>
      <c r="D203" s="21" t="s">
        <v>26</v>
      </c>
      <c r="E203" s="24" t="s">
        <v>12</v>
      </c>
      <c r="F203" s="13">
        <f t="shared" si="11"/>
        <v>16032.58</v>
      </c>
      <c r="G203" s="13">
        <v>192390.96</v>
      </c>
      <c r="H203" s="14">
        <v>0.86250000000000004</v>
      </c>
      <c r="I203" s="13">
        <f t="shared" si="12"/>
        <v>2204.4797499999986</v>
      </c>
      <c r="J203" s="13">
        <f t="shared" si="13"/>
        <v>26453.756999999983</v>
      </c>
    </row>
    <row r="204" spans="1:10" x14ac:dyDescent="0.35">
      <c r="A204" s="8"/>
      <c r="B204" s="24" t="s">
        <v>5</v>
      </c>
      <c r="C204" s="21" t="s">
        <v>260</v>
      </c>
      <c r="D204" s="21" t="s">
        <v>114</v>
      </c>
      <c r="E204" s="24" t="s">
        <v>13</v>
      </c>
      <c r="F204" s="13">
        <f t="shared" si="11"/>
        <v>5415.29</v>
      </c>
      <c r="G204" s="13">
        <v>64983.48</v>
      </c>
      <c r="H204" s="14">
        <v>0.86250000000000004</v>
      </c>
      <c r="I204" s="13">
        <f t="shared" si="12"/>
        <v>744.60237499999982</v>
      </c>
      <c r="J204" s="13">
        <f t="shared" si="13"/>
        <v>8935.2284999999974</v>
      </c>
    </row>
    <row r="205" spans="1:10" x14ac:dyDescent="0.35">
      <c r="A205" s="8"/>
      <c r="B205" s="24" t="s">
        <v>3</v>
      </c>
      <c r="C205" s="21" t="s">
        <v>260</v>
      </c>
      <c r="D205" s="21" t="s">
        <v>20</v>
      </c>
      <c r="E205" s="24" t="s">
        <v>21</v>
      </c>
      <c r="F205" s="13">
        <f t="shared" si="11"/>
        <v>0</v>
      </c>
      <c r="G205" s="13">
        <v>0</v>
      </c>
      <c r="H205" s="14">
        <v>0.86250000000000004</v>
      </c>
      <c r="I205" s="13">
        <f t="shared" si="12"/>
        <v>0</v>
      </c>
      <c r="J205" s="13">
        <f t="shared" si="13"/>
        <v>0</v>
      </c>
    </row>
    <row r="206" spans="1:10" x14ac:dyDescent="0.35">
      <c r="A206" s="8"/>
      <c r="B206" s="24" t="s">
        <v>3</v>
      </c>
      <c r="C206" s="21" t="s">
        <v>18</v>
      </c>
      <c r="D206" s="21" t="s">
        <v>48</v>
      </c>
      <c r="E206" s="24" t="s">
        <v>49</v>
      </c>
      <c r="F206" s="13">
        <f t="shared" si="11"/>
        <v>0</v>
      </c>
      <c r="G206" s="13">
        <v>0</v>
      </c>
      <c r="H206" s="14">
        <v>0.86250000000000004</v>
      </c>
      <c r="I206" s="13">
        <f t="shared" si="12"/>
        <v>0</v>
      </c>
      <c r="J206" s="13">
        <f t="shared" si="13"/>
        <v>0</v>
      </c>
    </row>
    <row r="207" spans="1:10" x14ac:dyDescent="0.35">
      <c r="A207" s="8"/>
      <c r="B207" s="24" t="s">
        <v>3</v>
      </c>
      <c r="C207" s="21" t="s">
        <v>18</v>
      </c>
      <c r="D207" s="21" t="s">
        <v>20</v>
      </c>
      <c r="E207" s="24" t="s">
        <v>21</v>
      </c>
      <c r="F207" s="13">
        <f t="shared" si="11"/>
        <v>0</v>
      </c>
      <c r="G207" s="13">
        <v>0</v>
      </c>
      <c r="H207" s="14">
        <v>0.86250000000000004</v>
      </c>
      <c r="I207" s="13">
        <f t="shared" si="12"/>
        <v>0</v>
      </c>
      <c r="J207" s="13">
        <f t="shared" si="13"/>
        <v>0</v>
      </c>
    </row>
    <row r="208" spans="1:10" x14ac:dyDescent="0.35">
      <c r="A208" s="8"/>
      <c r="B208" s="24" t="s">
        <v>3</v>
      </c>
      <c r="C208" s="21" t="s">
        <v>18</v>
      </c>
      <c r="D208" s="21" t="s">
        <v>20</v>
      </c>
      <c r="E208" s="24" t="s">
        <v>21</v>
      </c>
      <c r="F208" s="13">
        <f t="shared" si="11"/>
        <v>0</v>
      </c>
      <c r="G208" s="13">
        <v>0</v>
      </c>
      <c r="H208" s="14">
        <v>0.86250000000000004</v>
      </c>
      <c r="I208" s="13">
        <f t="shared" si="12"/>
        <v>0</v>
      </c>
      <c r="J208" s="13">
        <f t="shared" si="13"/>
        <v>0</v>
      </c>
    </row>
    <row r="209" spans="1:10" x14ac:dyDescent="0.35">
      <c r="A209" s="8"/>
      <c r="B209" s="24" t="s">
        <v>3</v>
      </c>
      <c r="C209" s="21" t="s">
        <v>263</v>
      </c>
      <c r="D209" s="21" t="s">
        <v>50</v>
      </c>
      <c r="E209" s="24" t="s">
        <v>51</v>
      </c>
      <c r="F209" s="13">
        <f t="shared" si="11"/>
        <v>109</v>
      </c>
      <c r="G209" s="13">
        <v>545</v>
      </c>
      <c r="H209" s="14">
        <v>0.86250000000000004</v>
      </c>
      <c r="I209" s="13">
        <f t="shared" si="12"/>
        <v>14.987500000000001</v>
      </c>
      <c r="J209" s="13">
        <f t="shared" si="13"/>
        <v>74.9375</v>
      </c>
    </row>
    <row r="210" spans="1:10" x14ac:dyDescent="0.35">
      <c r="A210" s="8"/>
      <c r="B210" s="24" t="s">
        <v>3</v>
      </c>
      <c r="C210" s="21" t="s">
        <v>18</v>
      </c>
      <c r="D210" s="21" t="s">
        <v>236</v>
      </c>
      <c r="E210" s="24" t="s">
        <v>237</v>
      </c>
      <c r="F210" s="13">
        <f t="shared" si="11"/>
        <v>1636</v>
      </c>
      <c r="G210" s="13">
        <v>1636</v>
      </c>
      <c r="H210" s="14">
        <v>0.86250000000000004</v>
      </c>
      <c r="I210" s="13">
        <f t="shared" si="12"/>
        <v>224.94999999999982</v>
      </c>
      <c r="J210" s="13">
        <f t="shared" si="13"/>
        <v>224.94999999999982</v>
      </c>
    </row>
    <row r="211" spans="1:10" x14ac:dyDescent="0.35">
      <c r="A211" s="8"/>
      <c r="B211" s="24" t="s">
        <v>3</v>
      </c>
      <c r="C211" s="21" t="s">
        <v>18</v>
      </c>
      <c r="D211" s="21" t="s">
        <v>236</v>
      </c>
      <c r="E211" s="24" t="s">
        <v>237</v>
      </c>
      <c r="F211" s="13">
        <f t="shared" si="11"/>
        <v>1636</v>
      </c>
      <c r="G211" s="13">
        <v>1636</v>
      </c>
      <c r="H211" s="14">
        <v>0.86250000000000004</v>
      </c>
      <c r="I211" s="13">
        <f t="shared" si="12"/>
        <v>224.94999999999982</v>
      </c>
      <c r="J211" s="13">
        <f t="shared" si="13"/>
        <v>224.94999999999982</v>
      </c>
    </row>
    <row r="212" spans="1:10" x14ac:dyDescent="0.35">
      <c r="A212" s="8"/>
      <c r="B212" s="24" t="s">
        <v>3</v>
      </c>
      <c r="C212" s="21" t="s">
        <v>247</v>
      </c>
      <c r="D212" s="21" t="s">
        <v>238</v>
      </c>
      <c r="E212" s="24" t="s">
        <v>239</v>
      </c>
      <c r="F212" s="13">
        <f t="shared" si="11"/>
        <v>303</v>
      </c>
      <c r="G212" s="13">
        <v>9090</v>
      </c>
      <c r="H212" s="14">
        <v>0.86250000000000004</v>
      </c>
      <c r="I212" s="13">
        <f t="shared" si="12"/>
        <v>41.662500000000001</v>
      </c>
      <c r="J212" s="13">
        <f t="shared" si="13"/>
        <v>1249.875</v>
      </c>
    </row>
    <row r="213" spans="1:10" x14ac:dyDescent="0.35">
      <c r="A213" s="8"/>
      <c r="B213" s="24" t="s">
        <v>3</v>
      </c>
      <c r="C213" s="21" t="s">
        <v>247</v>
      </c>
      <c r="D213" s="21" t="s">
        <v>207</v>
      </c>
      <c r="E213" s="24" t="s">
        <v>208</v>
      </c>
      <c r="F213" s="13">
        <f t="shared" si="11"/>
        <v>3645</v>
      </c>
      <c r="G213" s="13">
        <v>109350</v>
      </c>
      <c r="H213" s="14">
        <v>0.86250000000000004</v>
      </c>
      <c r="I213" s="13">
        <f t="shared" si="12"/>
        <v>501.1875</v>
      </c>
      <c r="J213" s="13">
        <f t="shared" si="13"/>
        <v>15035.625</v>
      </c>
    </row>
    <row r="214" spans="1:10" x14ac:dyDescent="0.35">
      <c r="A214" s="8"/>
      <c r="B214" s="24" t="s">
        <v>3</v>
      </c>
      <c r="C214" s="21" t="s">
        <v>264</v>
      </c>
      <c r="D214" s="21" t="s">
        <v>279</v>
      </c>
      <c r="E214" s="24" t="s">
        <v>280</v>
      </c>
      <c r="F214" s="13">
        <f t="shared" si="11"/>
        <v>324</v>
      </c>
      <c r="G214" s="13">
        <v>3240</v>
      </c>
      <c r="H214" s="14">
        <v>0.86250000000000004</v>
      </c>
      <c r="I214" s="13">
        <f t="shared" si="12"/>
        <v>44.55</v>
      </c>
      <c r="J214" s="13">
        <f t="shared" si="13"/>
        <v>445.5</v>
      </c>
    </row>
    <row r="215" spans="1:10" x14ac:dyDescent="0.35">
      <c r="A215" s="8"/>
      <c r="B215" s="24" t="s">
        <v>3</v>
      </c>
      <c r="C215" s="21" t="s">
        <v>264</v>
      </c>
      <c r="D215" s="21" t="s">
        <v>207</v>
      </c>
      <c r="E215" s="24" t="s">
        <v>208</v>
      </c>
      <c r="F215" s="13">
        <f t="shared" si="11"/>
        <v>3645</v>
      </c>
      <c r="G215" s="13">
        <v>36450</v>
      </c>
      <c r="H215" s="14">
        <v>0.86250000000000004</v>
      </c>
      <c r="I215" s="13">
        <f t="shared" si="12"/>
        <v>501.1875</v>
      </c>
      <c r="J215" s="13">
        <f t="shared" si="13"/>
        <v>5011.875</v>
      </c>
    </row>
    <row r="216" spans="1:10" x14ac:dyDescent="0.35">
      <c r="A216" s="8"/>
      <c r="B216" s="24" t="s">
        <v>3</v>
      </c>
      <c r="C216" s="21" t="s">
        <v>260</v>
      </c>
      <c r="D216" s="21" t="s">
        <v>281</v>
      </c>
      <c r="E216" s="24" t="s">
        <v>282</v>
      </c>
      <c r="F216" s="13">
        <f t="shared" si="11"/>
        <v>1260</v>
      </c>
      <c r="G216" s="13">
        <v>15120</v>
      </c>
      <c r="H216" s="14">
        <v>0.86250000000000004</v>
      </c>
      <c r="I216" s="13">
        <f t="shared" si="12"/>
        <v>173.25</v>
      </c>
      <c r="J216" s="13">
        <f t="shared" si="13"/>
        <v>2079</v>
      </c>
    </row>
    <row r="217" spans="1:10" x14ac:dyDescent="0.35">
      <c r="A217" s="8"/>
      <c r="B217" s="24" t="s">
        <v>3</v>
      </c>
      <c r="C217" s="21" t="s">
        <v>260</v>
      </c>
      <c r="D217" s="21" t="s">
        <v>283</v>
      </c>
      <c r="E217" s="24" t="s">
        <v>284</v>
      </c>
      <c r="F217" s="13">
        <f t="shared" si="11"/>
        <v>1260</v>
      </c>
      <c r="G217" s="13">
        <v>15120</v>
      </c>
      <c r="H217" s="14">
        <v>0.86250000000000004</v>
      </c>
      <c r="I217" s="13">
        <f t="shared" si="12"/>
        <v>173.25</v>
      </c>
      <c r="J217" s="13">
        <f t="shared" si="13"/>
        <v>2079</v>
      </c>
    </row>
    <row r="218" spans="1:10" x14ac:dyDescent="0.35">
      <c r="A218" s="8"/>
      <c r="B218" s="24" t="s">
        <v>3</v>
      </c>
      <c r="C218" s="21" t="s">
        <v>247</v>
      </c>
      <c r="D218" s="21" t="s">
        <v>285</v>
      </c>
      <c r="E218" s="24" t="s">
        <v>286</v>
      </c>
      <c r="F218" s="13">
        <f t="shared" si="11"/>
        <v>1365</v>
      </c>
      <c r="G218" s="13">
        <v>40950</v>
      </c>
      <c r="H218" s="14">
        <v>0.86250000000000004</v>
      </c>
      <c r="I218" s="13">
        <f t="shared" si="12"/>
        <v>187.6875</v>
      </c>
      <c r="J218" s="13">
        <f t="shared" si="13"/>
        <v>5630.625</v>
      </c>
    </row>
    <row r="219" spans="1:10" x14ac:dyDescent="0.35">
      <c r="A219" s="8"/>
      <c r="B219" s="24" t="s">
        <v>3</v>
      </c>
      <c r="C219" s="21" t="s">
        <v>287</v>
      </c>
      <c r="D219" s="21" t="s">
        <v>288</v>
      </c>
      <c r="E219" s="24" t="s">
        <v>289</v>
      </c>
      <c r="F219" s="13">
        <f t="shared" si="11"/>
        <v>1628</v>
      </c>
      <c r="G219" s="13">
        <v>553520</v>
      </c>
      <c r="H219" s="14">
        <v>0.86250000000000004</v>
      </c>
      <c r="I219" s="13">
        <f t="shared" si="12"/>
        <v>223.85</v>
      </c>
      <c r="J219" s="13">
        <f t="shared" si="13"/>
        <v>76109</v>
      </c>
    </row>
    <row r="220" spans="1:10" x14ac:dyDescent="0.35">
      <c r="A220" s="8"/>
      <c r="B220" s="24" t="s">
        <v>3</v>
      </c>
      <c r="C220" s="21" t="s">
        <v>263</v>
      </c>
      <c r="D220" s="21" t="s">
        <v>207</v>
      </c>
      <c r="E220" s="24" t="s">
        <v>208</v>
      </c>
      <c r="F220" s="13">
        <f t="shared" si="11"/>
        <v>3645</v>
      </c>
      <c r="G220" s="13">
        <v>18225</v>
      </c>
      <c r="H220" s="14">
        <v>0.86250000000000004</v>
      </c>
      <c r="I220" s="13">
        <f t="shared" si="12"/>
        <v>501.1875</v>
      </c>
      <c r="J220" s="13">
        <f t="shared" si="13"/>
        <v>2505.9375</v>
      </c>
    </row>
    <row r="221" spans="1:10" x14ac:dyDescent="0.35">
      <c r="A221" s="8"/>
      <c r="B221" s="24" t="s">
        <v>3</v>
      </c>
      <c r="C221" s="21" t="s">
        <v>18</v>
      </c>
      <c r="D221" s="21" t="s">
        <v>54</v>
      </c>
      <c r="E221" s="24" t="s">
        <v>55</v>
      </c>
      <c r="F221" s="13">
        <f t="shared" si="11"/>
        <v>0</v>
      </c>
      <c r="G221" s="13">
        <v>0</v>
      </c>
      <c r="H221" s="14">
        <v>0.86250000000000004</v>
      </c>
      <c r="I221" s="13">
        <f t="shared" si="12"/>
        <v>0</v>
      </c>
      <c r="J221" s="13">
        <f t="shared" si="13"/>
        <v>0</v>
      </c>
    </row>
    <row r="222" spans="1:10" x14ac:dyDescent="0.35">
      <c r="A222" s="8"/>
      <c r="B222" s="24" t="s">
        <v>5</v>
      </c>
      <c r="C222" s="21" t="s">
        <v>18</v>
      </c>
      <c r="D222" s="21" t="s">
        <v>31</v>
      </c>
      <c r="E222" s="24" t="s">
        <v>32</v>
      </c>
      <c r="F222" s="13">
        <f t="shared" si="11"/>
        <v>0</v>
      </c>
      <c r="G222" s="13">
        <v>0</v>
      </c>
      <c r="H222" s="14">
        <v>0.86250000000000004</v>
      </c>
      <c r="I222" s="13">
        <f t="shared" si="12"/>
        <v>0</v>
      </c>
      <c r="J222" s="13">
        <f t="shared" si="13"/>
        <v>0</v>
      </c>
    </row>
    <row r="223" spans="1:10" x14ac:dyDescent="0.35">
      <c r="A223" s="8"/>
      <c r="B223" s="24" t="s">
        <v>5</v>
      </c>
      <c r="C223" s="21" t="s">
        <v>18</v>
      </c>
      <c r="D223" s="21" t="s">
        <v>33</v>
      </c>
      <c r="E223" s="24" t="s">
        <v>32</v>
      </c>
      <c r="F223" s="13">
        <f t="shared" si="11"/>
        <v>0</v>
      </c>
      <c r="G223" s="13">
        <v>0</v>
      </c>
      <c r="H223" s="14">
        <v>0.86250000000000004</v>
      </c>
      <c r="I223" s="13">
        <f t="shared" si="12"/>
        <v>0</v>
      </c>
      <c r="J223" s="13">
        <f t="shared" si="13"/>
        <v>0</v>
      </c>
    </row>
    <row r="224" spans="1:10" x14ac:dyDescent="0.35">
      <c r="A224" s="6">
        <v>50</v>
      </c>
      <c r="B224" s="25"/>
      <c r="C224" s="22" t="s">
        <v>264</v>
      </c>
      <c r="D224" s="22"/>
      <c r="E224" s="25" t="s">
        <v>290</v>
      </c>
      <c r="F224" s="11">
        <f t="shared" si="11"/>
        <v>25.68</v>
      </c>
      <c r="G224" s="11">
        <v>256.8</v>
      </c>
      <c r="H224" s="12">
        <v>0.86250000000000004</v>
      </c>
      <c r="I224" s="11">
        <f t="shared" si="12"/>
        <v>3.5310000000000001</v>
      </c>
      <c r="J224" s="11">
        <f t="shared" si="13"/>
        <v>35.31</v>
      </c>
    </row>
    <row r="225" spans="1:10" x14ac:dyDescent="0.35">
      <c r="A225" s="8"/>
      <c r="B225" s="24" t="s">
        <v>3</v>
      </c>
      <c r="C225" s="21" t="s">
        <v>264</v>
      </c>
      <c r="D225" s="21" t="s">
        <v>291</v>
      </c>
      <c r="E225" s="24" t="s">
        <v>290</v>
      </c>
      <c r="F225" s="13">
        <f t="shared" si="11"/>
        <v>25.68</v>
      </c>
      <c r="G225" s="13">
        <v>256.8</v>
      </c>
      <c r="H225" s="14">
        <v>0.86250000000000004</v>
      </c>
      <c r="I225" s="13">
        <f t="shared" si="12"/>
        <v>3.5310000000000001</v>
      </c>
      <c r="J225" s="13">
        <f t="shared" si="13"/>
        <v>35.31</v>
      </c>
    </row>
    <row r="226" spans="1:10" x14ac:dyDescent="0.35">
      <c r="A226" s="6">
        <v>60</v>
      </c>
      <c r="B226" s="25"/>
      <c r="C226" s="22" t="s">
        <v>244</v>
      </c>
      <c r="D226" s="22"/>
      <c r="E226" s="25" t="s">
        <v>292</v>
      </c>
      <c r="F226" s="11">
        <f t="shared" si="11"/>
        <v>31.17</v>
      </c>
      <c r="G226" s="11">
        <v>2181.9</v>
      </c>
      <c r="H226" s="12">
        <v>0.86250000000000004</v>
      </c>
      <c r="I226" s="11">
        <f t="shared" si="12"/>
        <v>4.2858749999999999</v>
      </c>
      <c r="J226" s="11">
        <f t="shared" si="13"/>
        <v>300.01125000000002</v>
      </c>
    </row>
    <row r="227" spans="1:10" x14ac:dyDescent="0.35">
      <c r="A227" s="8"/>
      <c r="B227" s="24" t="s">
        <v>3</v>
      </c>
      <c r="C227" s="21" t="s">
        <v>244</v>
      </c>
      <c r="D227" s="21" t="s">
        <v>293</v>
      </c>
      <c r="E227" s="24" t="s">
        <v>292</v>
      </c>
      <c r="F227" s="13">
        <f t="shared" si="11"/>
        <v>31.17</v>
      </c>
      <c r="G227" s="13">
        <v>2181.9</v>
      </c>
      <c r="H227" s="14">
        <v>0.86250000000000004</v>
      </c>
      <c r="I227" s="13">
        <f t="shared" si="12"/>
        <v>4.2858749999999999</v>
      </c>
      <c r="J227" s="13">
        <f t="shared" si="13"/>
        <v>300.01125000000002</v>
      </c>
    </row>
    <row r="228" spans="1:10" x14ac:dyDescent="0.35">
      <c r="A228" s="6">
        <v>70</v>
      </c>
      <c r="B228" s="25"/>
      <c r="C228" s="22" t="s">
        <v>264</v>
      </c>
      <c r="D228" s="22"/>
      <c r="E228" s="25" t="s">
        <v>294</v>
      </c>
      <c r="F228" s="11">
        <f t="shared" si="11"/>
        <v>40.239999999999995</v>
      </c>
      <c r="G228" s="11">
        <v>402.4</v>
      </c>
      <c r="H228" s="12">
        <v>0.86250000000000004</v>
      </c>
      <c r="I228" s="11">
        <f t="shared" si="12"/>
        <v>5.5329999999999986</v>
      </c>
      <c r="J228" s="11">
        <f t="shared" si="13"/>
        <v>55.329999999999984</v>
      </c>
    </row>
    <row r="229" spans="1:10" ht="15" thickBot="1" x14ac:dyDescent="0.4">
      <c r="A229" s="27"/>
      <c r="B229" s="28" t="s">
        <v>295</v>
      </c>
      <c r="C229" s="29" t="s">
        <v>264</v>
      </c>
      <c r="D229" s="21" t="s">
        <v>296</v>
      </c>
      <c r="E229" s="24" t="s">
        <v>294</v>
      </c>
      <c r="F229" s="13">
        <f t="shared" si="11"/>
        <v>40.239999999999995</v>
      </c>
      <c r="G229" s="13">
        <v>402.4</v>
      </c>
      <c r="H229" s="14">
        <v>0.86250000000000004</v>
      </c>
      <c r="I229" s="13">
        <f t="shared" si="12"/>
        <v>5.5329999999999986</v>
      </c>
      <c r="J229" s="30">
        <f t="shared" si="13"/>
        <v>55.329999999999984</v>
      </c>
    </row>
    <row r="230" spans="1:10" ht="24" thickBot="1" x14ac:dyDescent="0.6">
      <c r="A230" s="33" t="s">
        <v>57</v>
      </c>
      <c r="B230" s="34"/>
      <c r="C230" s="35"/>
      <c r="D230" s="26"/>
      <c r="E230" s="26"/>
      <c r="F230" s="26"/>
      <c r="G230" s="26"/>
      <c r="H230" s="26"/>
      <c r="I230" s="26"/>
      <c r="J230" s="31">
        <f>J228+J226+J224+J195+J144+J82+J7</f>
        <v>4024250.0539999991</v>
      </c>
    </row>
  </sheetData>
  <mergeCells count="1">
    <mergeCell ref="A230:C2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BBD4-77F1-4AB1-9F3A-6ECDFAC1A559}">
  <dimension ref="A1:K160"/>
  <sheetViews>
    <sheetView zoomScale="81" zoomScaleNormal="100" workbookViewId="0">
      <selection activeCell="E4" sqref="E4"/>
    </sheetView>
  </sheetViews>
  <sheetFormatPr defaultRowHeight="14.5" x14ac:dyDescent="0.35"/>
  <cols>
    <col min="1" max="1" width="4.453125" style="7" bestFit="1" customWidth="1"/>
    <col min="2" max="2" width="15.36328125" bestFit="1" customWidth="1"/>
    <col min="3" max="3" width="5" style="3" bestFit="1" customWidth="1"/>
    <col min="4" max="4" width="15.81640625" bestFit="1" customWidth="1"/>
    <col min="5" max="5" width="66.1796875" bestFit="1" customWidth="1"/>
    <col min="6" max="6" width="12.81640625" bestFit="1" customWidth="1"/>
    <col min="7" max="7" width="13.90625" bestFit="1" customWidth="1"/>
    <col min="8" max="8" width="8.36328125" bestFit="1" customWidth="1"/>
    <col min="9" max="9" width="15.26953125" bestFit="1" customWidth="1"/>
    <col min="10" max="10" width="22.6328125" bestFit="1" customWidth="1"/>
  </cols>
  <sheetData>
    <row r="1" spans="1:10" x14ac:dyDescent="0.35">
      <c r="D1" s="9" t="s">
        <v>58</v>
      </c>
    </row>
    <row r="2" spans="1:10" x14ac:dyDescent="0.35">
      <c r="D2" s="9" t="s">
        <v>15</v>
      </c>
    </row>
    <row r="4" spans="1:10" x14ac:dyDescent="0.35">
      <c r="B4" s="3" t="s">
        <v>297</v>
      </c>
      <c r="C4" s="5" t="s">
        <v>241</v>
      </c>
      <c r="D4" s="5">
        <v>3000200033461.1001</v>
      </c>
    </row>
    <row r="6" spans="1:10" x14ac:dyDescent="0.35">
      <c r="A6" s="2" t="s">
        <v>14</v>
      </c>
      <c r="B6" s="23" t="s">
        <v>7</v>
      </c>
      <c r="C6" s="4" t="s">
        <v>8</v>
      </c>
      <c r="D6" s="4" t="s">
        <v>9</v>
      </c>
      <c r="E6" s="1" t="s">
        <v>10</v>
      </c>
      <c r="F6" s="10" t="s">
        <v>16</v>
      </c>
      <c r="G6" s="4" t="s">
        <v>2</v>
      </c>
      <c r="H6" s="4" t="s">
        <v>1</v>
      </c>
      <c r="I6" s="10" t="s">
        <v>17</v>
      </c>
      <c r="J6" s="4" t="s">
        <v>0</v>
      </c>
    </row>
    <row r="7" spans="1:10" x14ac:dyDescent="0.35">
      <c r="A7" s="6">
        <v>10</v>
      </c>
      <c r="B7" s="25"/>
      <c r="C7" s="22" t="s">
        <v>298</v>
      </c>
      <c r="D7" s="22"/>
      <c r="E7" s="25" t="s">
        <v>61</v>
      </c>
      <c r="F7" s="11">
        <f>G7/C7</f>
        <v>4620715.1199999992</v>
      </c>
      <c r="G7" s="11">
        <f>SUM(G8:G73)</f>
        <v>32345005.839999996</v>
      </c>
      <c r="H7" s="12">
        <v>0.86250000000000004</v>
      </c>
      <c r="I7" s="11">
        <f>J7/C7</f>
        <v>635348.32899999968</v>
      </c>
      <c r="J7" s="11">
        <f>SUM(J8:J73)</f>
        <v>4447438.3029999975</v>
      </c>
    </row>
    <row r="8" spans="1:10" x14ac:dyDescent="0.35">
      <c r="A8" s="8"/>
      <c r="B8" s="24" t="s">
        <v>3</v>
      </c>
      <c r="C8" s="21" t="s">
        <v>298</v>
      </c>
      <c r="D8" s="21" t="s">
        <v>62</v>
      </c>
      <c r="E8" s="24" t="s">
        <v>61</v>
      </c>
      <c r="F8" s="13">
        <f t="shared" ref="F8:F71" si="0">G8/C8</f>
        <v>8497.5</v>
      </c>
      <c r="G8" s="13">
        <v>59482.5</v>
      </c>
      <c r="H8" s="14">
        <v>0.86250000000000004</v>
      </c>
      <c r="I8" s="13">
        <f t="shared" ref="I8:I71" si="1">J8/C8</f>
        <v>1168.40625</v>
      </c>
      <c r="J8" s="13">
        <f>G8-G8*H8</f>
        <v>8178.84375</v>
      </c>
    </row>
    <row r="9" spans="1:10" x14ac:dyDescent="0.35">
      <c r="A9" s="8"/>
      <c r="B9" s="24" t="s">
        <v>3</v>
      </c>
      <c r="C9" s="21" t="s">
        <v>298</v>
      </c>
      <c r="D9" s="21" t="s">
        <v>20</v>
      </c>
      <c r="E9" s="24" t="s">
        <v>21</v>
      </c>
      <c r="F9" s="13">
        <f t="shared" si="0"/>
        <v>0</v>
      </c>
      <c r="G9" s="13">
        <v>0</v>
      </c>
      <c r="H9" s="14">
        <v>0.86250000000000004</v>
      </c>
      <c r="I9" s="13">
        <f t="shared" si="1"/>
        <v>0</v>
      </c>
      <c r="J9" s="13">
        <f t="shared" ref="J9:J72" si="2">G9-G9*H9</f>
        <v>0</v>
      </c>
    </row>
    <row r="10" spans="1:10" x14ac:dyDescent="0.35">
      <c r="A10" s="8"/>
      <c r="B10" s="24" t="s">
        <v>3</v>
      </c>
      <c r="C10" s="21" t="s">
        <v>298</v>
      </c>
      <c r="D10" s="21" t="s">
        <v>20</v>
      </c>
      <c r="E10" s="24" t="s">
        <v>21</v>
      </c>
      <c r="F10" s="13">
        <f t="shared" si="0"/>
        <v>0</v>
      </c>
      <c r="G10" s="13">
        <v>0</v>
      </c>
      <c r="H10" s="14">
        <v>0.86250000000000004</v>
      </c>
      <c r="I10" s="13">
        <f t="shared" si="1"/>
        <v>0</v>
      </c>
      <c r="J10" s="13">
        <f t="shared" si="2"/>
        <v>0</v>
      </c>
    </row>
    <row r="11" spans="1:10" x14ac:dyDescent="0.35">
      <c r="A11" s="8"/>
      <c r="B11" s="24" t="s">
        <v>3</v>
      </c>
      <c r="C11" s="21" t="s">
        <v>298</v>
      </c>
      <c r="D11" s="21" t="s">
        <v>63</v>
      </c>
      <c r="E11" s="24" t="s">
        <v>64</v>
      </c>
      <c r="F11" s="13">
        <f t="shared" si="0"/>
        <v>0</v>
      </c>
      <c r="G11" s="13">
        <v>0</v>
      </c>
      <c r="H11" s="14">
        <v>0.86250000000000004</v>
      </c>
      <c r="I11" s="13">
        <f t="shared" si="1"/>
        <v>0</v>
      </c>
      <c r="J11" s="13">
        <f t="shared" si="2"/>
        <v>0</v>
      </c>
    </row>
    <row r="12" spans="1:10" x14ac:dyDescent="0.35">
      <c r="A12" s="8"/>
      <c r="B12" s="24" t="s">
        <v>3</v>
      </c>
      <c r="C12" s="21" t="s">
        <v>298</v>
      </c>
      <c r="D12" s="21" t="s">
        <v>299</v>
      </c>
      <c r="E12" s="24" t="s">
        <v>300</v>
      </c>
      <c r="F12" s="13">
        <f t="shared" si="0"/>
        <v>1455848.67</v>
      </c>
      <c r="G12" s="13">
        <v>10190940.689999999</v>
      </c>
      <c r="H12" s="14">
        <v>0.86250000000000004</v>
      </c>
      <c r="I12" s="13">
        <f t="shared" si="1"/>
        <v>200179.1921249998</v>
      </c>
      <c r="J12" s="13">
        <f t="shared" si="2"/>
        <v>1401254.3448749986</v>
      </c>
    </row>
    <row r="13" spans="1:10" x14ac:dyDescent="0.35">
      <c r="A13" s="8"/>
      <c r="B13" s="24" t="s">
        <v>3</v>
      </c>
      <c r="C13" s="21" t="s">
        <v>298</v>
      </c>
      <c r="D13" s="21" t="s">
        <v>67</v>
      </c>
      <c r="E13" s="24" t="s">
        <v>68</v>
      </c>
      <c r="F13" s="13">
        <f t="shared" si="0"/>
        <v>8536.2199999999993</v>
      </c>
      <c r="G13" s="13">
        <v>59753.54</v>
      </c>
      <c r="H13" s="14">
        <v>0.86250000000000004</v>
      </c>
      <c r="I13" s="13">
        <f t="shared" si="1"/>
        <v>1173.7302499999994</v>
      </c>
      <c r="J13" s="13">
        <f t="shared" si="2"/>
        <v>8216.1117499999964</v>
      </c>
    </row>
    <row r="14" spans="1:10" x14ac:dyDescent="0.35">
      <c r="A14" s="8"/>
      <c r="B14" s="24" t="s">
        <v>3</v>
      </c>
      <c r="C14" s="21" t="s">
        <v>298</v>
      </c>
      <c r="D14" s="21" t="s">
        <v>69</v>
      </c>
      <c r="E14" s="24" t="s">
        <v>70</v>
      </c>
      <c r="F14" s="13">
        <f t="shared" si="0"/>
        <v>2909.5</v>
      </c>
      <c r="G14" s="13">
        <v>20366.5</v>
      </c>
      <c r="H14" s="14">
        <v>0.86250000000000004</v>
      </c>
      <c r="I14" s="13">
        <f t="shared" si="1"/>
        <v>400.05624999999992</v>
      </c>
      <c r="J14" s="13">
        <f t="shared" si="2"/>
        <v>2800.3937499999993</v>
      </c>
    </row>
    <row r="15" spans="1:10" x14ac:dyDescent="0.35">
      <c r="A15" s="8"/>
      <c r="B15" s="24" t="s">
        <v>3</v>
      </c>
      <c r="C15" s="21" t="s">
        <v>298</v>
      </c>
      <c r="D15" s="21" t="s">
        <v>71</v>
      </c>
      <c r="E15" s="24" t="s">
        <v>72</v>
      </c>
      <c r="F15" s="13">
        <f t="shared" si="0"/>
        <v>2909.5</v>
      </c>
      <c r="G15" s="13">
        <v>20366.5</v>
      </c>
      <c r="H15" s="14">
        <v>0.86250000000000004</v>
      </c>
      <c r="I15" s="13">
        <f t="shared" si="1"/>
        <v>400.05624999999992</v>
      </c>
      <c r="J15" s="13">
        <f t="shared" si="2"/>
        <v>2800.3937499999993</v>
      </c>
    </row>
    <row r="16" spans="1:10" x14ac:dyDescent="0.35">
      <c r="A16" s="8"/>
      <c r="B16" s="24" t="s">
        <v>3</v>
      </c>
      <c r="C16" s="21" t="s">
        <v>298</v>
      </c>
      <c r="D16" s="21" t="s">
        <v>73</v>
      </c>
      <c r="E16" s="24" t="s">
        <v>74</v>
      </c>
      <c r="F16" s="13">
        <f t="shared" si="0"/>
        <v>0</v>
      </c>
      <c r="G16" s="13">
        <v>0</v>
      </c>
      <c r="H16" s="14">
        <v>0.86250000000000004</v>
      </c>
      <c r="I16" s="13">
        <f t="shared" si="1"/>
        <v>0</v>
      </c>
      <c r="J16" s="13">
        <f t="shared" si="2"/>
        <v>0</v>
      </c>
    </row>
    <row r="17" spans="1:10" x14ac:dyDescent="0.35">
      <c r="A17" s="8"/>
      <c r="B17" s="24" t="s">
        <v>3</v>
      </c>
      <c r="C17" s="21" t="s">
        <v>298</v>
      </c>
      <c r="D17" s="21" t="s">
        <v>75</v>
      </c>
      <c r="E17" s="24" t="s">
        <v>76</v>
      </c>
      <c r="F17" s="13">
        <f t="shared" si="0"/>
        <v>17789.310000000001</v>
      </c>
      <c r="G17" s="13">
        <v>124525.17</v>
      </c>
      <c r="H17" s="14">
        <v>0.86250000000000004</v>
      </c>
      <c r="I17" s="13">
        <f t="shared" si="1"/>
        <v>2446.0301249999984</v>
      </c>
      <c r="J17" s="13">
        <f t="shared" si="2"/>
        <v>17122.21087499999</v>
      </c>
    </row>
    <row r="18" spans="1:10" x14ac:dyDescent="0.35">
      <c r="A18" s="8"/>
      <c r="B18" s="24" t="s">
        <v>3</v>
      </c>
      <c r="C18" s="21" t="s">
        <v>298</v>
      </c>
      <c r="D18" s="21" t="s">
        <v>77</v>
      </c>
      <c r="E18" s="24" t="s">
        <v>78</v>
      </c>
      <c r="F18" s="13">
        <f t="shared" si="0"/>
        <v>75832.540000000008</v>
      </c>
      <c r="G18" s="13">
        <v>530827.78</v>
      </c>
      <c r="H18" s="14">
        <v>0.86250000000000004</v>
      </c>
      <c r="I18" s="13">
        <f t="shared" si="1"/>
        <v>10426.974249999996</v>
      </c>
      <c r="J18" s="13">
        <f t="shared" si="2"/>
        <v>72988.819749999966</v>
      </c>
    </row>
    <row r="19" spans="1:10" x14ac:dyDescent="0.35">
      <c r="A19" s="8"/>
      <c r="B19" s="24" t="s">
        <v>3</v>
      </c>
      <c r="C19" s="21" t="s">
        <v>298</v>
      </c>
      <c r="D19" s="21" t="s">
        <v>79</v>
      </c>
      <c r="E19" s="24" t="s">
        <v>80</v>
      </c>
      <c r="F19" s="13">
        <f t="shared" si="0"/>
        <v>0</v>
      </c>
      <c r="G19" s="13">
        <v>0</v>
      </c>
      <c r="H19" s="14">
        <v>0.86250000000000004</v>
      </c>
      <c r="I19" s="13">
        <f t="shared" si="1"/>
        <v>0</v>
      </c>
      <c r="J19" s="13">
        <f t="shared" si="2"/>
        <v>0</v>
      </c>
    </row>
    <row r="20" spans="1:10" x14ac:dyDescent="0.35">
      <c r="A20" s="8"/>
      <c r="B20" s="24" t="s">
        <v>3</v>
      </c>
      <c r="C20" s="21" t="s">
        <v>298</v>
      </c>
      <c r="D20" s="21" t="s">
        <v>81</v>
      </c>
      <c r="E20" s="24" t="s">
        <v>82</v>
      </c>
      <c r="F20" s="13">
        <f t="shared" si="0"/>
        <v>237.46</v>
      </c>
      <c r="G20" s="13">
        <v>1662.22</v>
      </c>
      <c r="H20" s="14">
        <v>0.86250000000000004</v>
      </c>
      <c r="I20" s="13">
        <f t="shared" si="1"/>
        <v>32.650749999999981</v>
      </c>
      <c r="J20" s="13">
        <f t="shared" si="2"/>
        <v>228.55524999999989</v>
      </c>
    </row>
    <row r="21" spans="1:10" x14ac:dyDescent="0.35">
      <c r="A21" s="8"/>
      <c r="B21" s="24" t="s">
        <v>3</v>
      </c>
      <c r="C21" s="21" t="s">
        <v>298</v>
      </c>
      <c r="D21" s="21" t="s">
        <v>83</v>
      </c>
      <c r="E21" s="24" t="s">
        <v>84</v>
      </c>
      <c r="F21" s="13">
        <f t="shared" si="0"/>
        <v>0</v>
      </c>
      <c r="G21" s="13">
        <v>0</v>
      </c>
      <c r="H21" s="14">
        <v>0.86250000000000004</v>
      </c>
      <c r="I21" s="13">
        <f t="shared" si="1"/>
        <v>0</v>
      </c>
      <c r="J21" s="13">
        <f t="shared" si="2"/>
        <v>0</v>
      </c>
    </row>
    <row r="22" spans="1:10" x14ac:dyDescent="0.35">
      <c r="A22" s="8"/>
      <c r="B22" s="24" t="s">
        <v>3</v>
      </c>
      <c r="C22" s="21" t="s">
        <v>298</v>
      </c>
      <c r="D22" s="21" t="s">
        <v>85</v>
      </c>
      <c r="E22" s="24" t="s">
        <v>86</v>
      </c>
      <c r="F22" s="13">
        <f t="shared" si="0"/>
        <v>1538.8999999999999</v>
      </c>
      <c r="G22" s="13">
        <v>10772.3</v>
      </c>
      <c r="H22" s="14">
        <v>0.86250000000000004</v>
      </c>
      <c r="I22" s="13">
        <f t="shared" si="1"/>
        <v>211.59874999999997</v>
      </c>
      <c r="J22" s="13">
        <f t="shared" si="2"/>
        <v>1481.1912499999999</v>
      </c>
    </row>
    <row r="23" spans="1:10" x14ac:dyDescent="0.35">
      <c r="A23" s="8"/>
      <c r="B23" s="24" t="s">
        <v>3</v>
      </c>
      <c r="C23" s="21" t="s">
        <v>298</v>
      </c>
      <c r="D23" s="21" t="s">
        <v>87</v>
      </c>
      <c r="E23" s="24" t="s">
        <v>88</v>
      </c>
      <c r="F23" s="13">
        <f t="shared" si="0"/>
        <v>48.4</v>
      </c>
      <c r="G23" s="13">
        <v>338.8</v>
      </c>
      <c r="H23" s="14">
        <v>0.86250000000000004</v>
      </c>
      <c r="I23" s="13">
        <f t="shared" si="1"/>
        <v>6.6549999999999967</v>
      </c>
      <c r="J23" s="13">
        <f t="shared" si="2"/>
        <v>46.58499999999998</v>
      </c>
    </row>
    <row r="24" spans="1:10" x14ac:dyDescent="0.35">
      <c r="A24" s="8"/>
      <c r="B24" s="24" t="s">
        <v>4</v>
      </c>
      <c r="C24" s="21" t="s">
        <v>298</v>
      </c>
      <c r="D24" s="21" t="s">
        <v>89</v>
      </c>
      <c r="E24" s="24" t="s">
        <v>90</v>
      </c>
      <c r="F24" s="13">
        <f t="shared" si="0"/>
        <v>0</v>
      </c>
      <c r="G24" s="13">
        <v>0</v>
      </c>
      <c r="H24" s="14">
        <v>0.86250000000000004</v>
      </c>
      <c r="I24" s="13">
        <f t="shared" si="1"/>
        <v>0</v>
      </c>
      <c r="J24" s="13">
        <f t="shared" si="2"/>
        <v>0</v>
      </c>
    </row>
    <row r="25" spans="1:10" x14ac:dyDescent="0.35">
      <c r="A25" s="8"/>
      <c r="B25" s="24" t="s">
        <v>4</v>
      </c>
      <c r="C25" s="21" t="s">
        <v>298</v>
      </c>
      <c r="D25" s="21" t="s">
        <v>91</v>
      </c>
      <c r="E25" s="24" t="s">
        <v>92</v>
      </c>
      <c r="F25" s="13">
        <f t="shared" si="0"/>
        <v>0</v>
      </c>
      <c r="G25" s="13">
        <v>0</v>
      </c>
      <c r="H25" s="14">
        <v>0.86250000000000004</v>
      </c>
      <c r="I25" s="13">
        <f t="shared" si="1"/>
        <v>0</v>
      </c>
      <c r="J25" s="13">
        <f t="shared" si="2"/>
        <v>0</v>
      </c>
    </row>
    <row r="26" spans="1:10" x14ac:dyDescent="0.35">
      <c r="A26" s="8"/>
      <c r="B26" s="24" t="s">
        <v>4</v>
      </c>
      <c r="C26" s="21" t="s">
        <v>298</v>
      </c>
      <c r="D26" s="21" t="s">
        <v>93</v>
      </c>
      <c r="E26" s="24" t="s">
        <v>94</v>
      </c>
      <c r="F26" s="13">
        <f t="shared" si="0"/>
        <v>0</v>
      </c>
      <c r="G26" s="13">
        <v>0</v>
      </c>
      <c r="H26" s="14">
        <v>0.86250000000000004</v>
      </c>
      <c r="I26" s="13">
        <f t="shared" si="1"/>
        <v>0</v>
      </c>
      <c r="J26" s="13">
        <f t="shared" si="2"/>
        <v>0</v>
      </c>
    </row>
    <row r="27" spans="1:10" x14ac:dyDescent="0.35">
      <c r="A27" s="8"/>
      <c r="B27" s="24" t="s">
        <v>3</v>
      </c>
      <c r="C27" s="21" t="s">
        <v>298</v>
      </c>
      <c r="D27" s="21" t="s">
        <v>95</v>
      </c>
      <c r="E27" s="24" t="s">
        <v>96</v>
      </c>
      <c r="F27" s="13">
        <f t="shared" si="0"/>
        <v>811.80000000000007</v>
      </c>
      <c r="G27" s="13">
        <v>5682.6</v>
      </c>
      <c r="H27" s="14">
        <v>0.86250000000000004</v>
      </c>
      <c r="I27" s="13">
        <f t="shared" si="1"/>
        <v>111.62250000000002</v>
      </c>
      <c r="J27" s="13">
        <f t="shared" si="2"/>
        <v>781.35750000000007</v>
      </c>
    </row>
    <row r="28" spans="1:10" x14ac:dyDescent="0.35">
      <c r="A28" s="8"/>
      <c r="B28" s="24" t="s">
        <v>3</v>
      </c>
      <c r="C28" s="21" t="s">
        <v>298</v>
      </c>
      <c r="D28" s="21" t="s">
        <v>97</v>
      </c>
      <c r="E28" s="24" t="s">
        <v>98</v>
      </c>
      <c r="F28" s="13">
        <f t="shared" si="0"/>
        <v>0</v>
      </c>
      <c r="G28" s="13">
        <v>0</v>
      </c>
      <c r="H28" s="14">
        <v>0.86250000000000004</v>
      </c>
      <c r="I28" s="13">
        <f t="shared" si="1"/>
        <v>0</v>
      </c>
      <c r="J28" s="13">
        <f t="shared" si="2"/>
        <v>0</v>
      </c>
    </row>
    <row r="29" spans="1:10" x14ac:dyDescent="0.35">
      <c r="A29" s="8"/>
      <c r="B29" s="24" t="s">
        <v>3</v>
      </c>
      <c r="C29" s="21" t="s">
        <v>298</v>
      </c>
      <c r="D29" s="21" t="s">
        <v>99</v>
      </c>
      <c r="E29" s="24" t="s">
        <v>100</v>
      </c>
      <c r="F29" s="13">
        <f t="shared" si="0"/>
        <v>0</v>
      </c>
      <c r="G29" s="13">
        <v>0</v>
      </c>
      <c r="H29" s="14">
        <v>0.86250000000000004</v>
      </c>
      <c r="I29" s="13">
        <f t="shared" si="1"/>
        <v>0</v>
      </c>
      <c r="J29" s="13">
        <f t="shared" si="2"/>
        <v>0</v>
      </c>
    </row>
    <row r="30" spans="1:10" x14ac:dyDescent="0.35">
      <c r="A30" s="8"/>
      <c r="B30" s="24" t="s">
        <v>3</v>
      </c>
      <c r="C30" s="21" t="s">
        <v>298</v>
      </c>
      <c r="D30" s="21" t="s">
        <v>101</v>
      </c>
      <c r="E30" s="24" t="s">
        <v>102</v>
      </c>
      <c r="F30" s="13">
        <f t="shared" si="0"/>
        <v>0</v>
      </c>
      <c r="G30" s="13">
        <v>0</v>
      </c>
      <c r="H30" s="14">
        <v>0.86250000000000004</v>
      </c>
      <c r="I30" s="13">
        <f t="shared" si="1"/>
        <v>0</v>
      </c>
      <c r="J30" s="13">
        <f t="shared" si="2"/>
        <v>0</v>
      </c>
    </row>
    <row r="31" spans="1:10" x14ac:dyDescent="0.35">
      <c r="A31" s="8"/>
      <c r="B31" s="24" t="s">
        <v>4</v>
      </c>
      <c r="C31" s="21" t="s">
        <v>298</v>
      </c>
      <c r="D31" s="21" t="s">
        <v>103</v>
      </c>
      <c r="E31" s="24" t="s">
        <v>104</v>
      </c>
      <c r="F31" s="13">
        <f t="shared" si="0"/>
        <v>0</v>
      </c>
      <c r="G31" s="13">
        <v>0</v>
      </c>
      <c r="H31" s="14">
        <v>0.86250000000000004</v>
      </c>
      <c r="I31" s="13">
        <f t="shared" si="1"/>
        <v>0</v>
      </c>
      <c r="J31" s="13">
        <f t="shared" si="2"/>
        <v>0</v>
      </c>
    </row>
    <row r="32" spans="1:10" x14ac:dyDescent="0.35">
      <c r="A32" s="8"/>
      <c r="B32" s="24" t="s">
        <v>3</v>
      </c>
      <c r="C32" s="21" t="s">
        <v>298</v>
      </c>
      <c r="D32" s="21" t="s">
        <v>105</v>
      </c>
      <c r="E32" s="24" t="s">
        <v>106</v>
      </c>
      <c r="F32" s="13">
        <f t="shared" si="0"/>
        <v>0</v>
      </c>
      <c r="G32" s="13">
        <v>0</v>
      </c>
      <c r="H32" s="14">
        <v>0.86250000000000004</v>
      </c>
      <c r="I32" s="13">
        <f t="shared" si="1"/>
        <v>0</v>
      </c>
      <c r="J32" s="13">
        <f t="shared" si="2"/>
        <v>0</v>
      </c>
    </row>
    <row r="33" spans="1:10" x14ac:dyDescent="0.35">
      <c r="A33" s="8"/>
      <c r="B33" s="24" t="s">
        <v>3</v>
      </c>
      <c r="C33" s="21" t="s">
        <v>298</v>
      </c>
      <c r="D33" s="21" t="s">
        <v>301</v>
      </c>
      <c r="E33" s="24" t="s">
        <v>302</v>
      </c>
      <c r="F33" s="13">
        <f t="shared" si="0"/>
        <v>0</v>
      </c>
      <c r="G33" s="13">
        <v>0</v>
      </c>
      <c r="H33" s="14">
        <v>0.86250000000000004</v>
      </c>
      <c r="I33" s="13">
        <f t="shared" si="1"/>
        <v>0</v>
      </c>
      <c r="J33" s="13">
        <f t="shared" si="2"/>
        <v>0</v>
      </c>
    </row>
    <row r="34" spans="1:10" x14ac:dyDescent="0.35">
      <c r="A34" s="8"/>
      <c r="B34" s="24" t="s">
        <v>3</v>
      </c>
      <c r="C34" s="21" t="s">
        <v>298</v>
      </c>
      <c r="D34" s="21" t="s">
        <v>109</v>
      </c>
      <c r="E34" s="24" t="s">
        <v>110</v>
      </c>
      <c r="F34" s="13">
        <f t="shared" si="0"/>
        <v>0</v>
      </c>
      <c r="G34" s="13">
        <v>0</v>
      </c>
      <c r="H34" s="14">
        <v>0.86250000000000004</v>
      </c>
      <c r="I34" s="13">
        <f t="shared" si="1"/>
        <v>0</v>
      </c>
      <c r="J34" s="13">
        <f t="shared" si="2"/>
        <v>0</v>
      </c>
    </row>
    <row r="35" spans="1:10" x14ac:dyDescent="0.35">
      <c r="A35" s="8"/>
      <c r="B35" s="24" t="s">
        <v>3</v>
      </c>
      <c r="C35" s="21" t="s">
        <v>298</v>
      </c>
      <c r="D35" s="21" t="s">
        <v>111</v>
      </c>
      <c r="E35" s="24" t="s">
        <v>112</v>
      </c>
      <c r="F35" s="13">
        <f t="shared" si="0"/>
        <v>0</v>
      </c>
      <c r="G35" s="13">
        <v>0</v>
      </c>
      <c r="H35" s="14">
        <v>0.86250000000000004</v>
      </c>
      <c r="I35" s="13">
        <f t="shared" si="1"/>
        <v>0</v>
      </c>
      <c r="J35" s="13">
        <f t="shared" si="2"/>
        <v>0</v>
      </c>
    </row>
    <row r="36" spans="1:10" x14ac:dyDescent="0.35">
      <c r="A36" s="8"/>
      <c r="B36" s="24" t="s">
        <v>3</v>
      </c>
      <c r="C36" s="21" t="s">
        <v>298</v>
      </c>
      <c r="D36" s="21" t="s">
        <v>20</v>
      </c>
      <c r="E36" s="24" t="s">
        <v>21</v>
      </c>
      <c r="F36" s="13">
        <f t="shared" si="0"/>
        <v>0</v>
      </c>
      <c r="G36" s="13">
        <v>0</v>
      </c>
      <c r="H36" s="14">
        <v>0.86250000000000004</v>
      </c>
      <c r="I36" s="13">
        <f t="shared" si="1"/>
        <v>0</v>
      </c>
      <c r="J36" s="13">
        <f t="shared" si="2"/>
        <v>0</v>
      </c>
    </row>
    <row r="37" spans="1:10" x14ac:dyDescent="0.35">
      <c r="A37" s="8"/>
      <c r="B37" s="24" t="s">
        <v>3</v>
      </c>
      <c r="C37" s="21" t="s">
        <v>298</v>
      </c>
      <c r="D37" s="21" t="s">
        <v>20</v>
      </c>
      <c r="E37" s="24" t="s">
        <v>21</v>
      </c>
      <c r="F37" s="13">
        <f t="shared" si="0"/>
        <v>0</v>
      </c>
      <c r="G37" s="13">
        <v>0</v>
      </c>
      <c r="H37" s="14">
        <v>0.86250000000000004</v>
      </c>
      <c r="I37" s="13">
        <f t="shared" si="1"/>
        <v>0</v>
      </c>
      <c r="J37" s="13">
        <f t="shared" si="2"/>
        <v>0</v>
      </c>
    </row>
    <row r="38" spans="1:10" x14ac:dyDescent="0.35">
      <c r="A38" s="8"/>
      <c r="B38" s="24" t="s">
        <v>5</v>
      </c>
      <c r="C38" s="21" t="s">
        <v>298</v>
      </c>
      <c r="D38" s="21" t="s">
        <v>113</v>
      </c>
      <c r="E38" s="24" t="s">
        <v>11</v>
      </c>
      <c r="F38" s="13">
        <f t="shared" si="0"/>
        <v>0.02</v>
      </c>
      <c r="G38" s="13">
        <v>0.14000000000000001</v>
      </c>
      <c r="H38" s="14">
        <v>0.86250000000000004</v>
      </c>
      <c r="I38" s="13">
        <f t="shared" si="1"/>
        <v>2.7499999999999985E-3</v>
      </c>
      <c r="J38" s="13">
        <f t="shared" si="2"/>
        <v>1.9249999999999989E-2</v>
      </c>
    </row>
    <row r="39" spans="1:10" x14ac:dyDescent="0.35">
      <c r="A39" s="8"/>
      <c r="B39" s="24" t="s">
        <v>5</v>
      </c>
      <c r="C39" s="21" t="s">
        <v>298</v>
      </c>
      <c r="D39" s="21" t="s">
        <v>22</v>
      </c>
      <c r="E39" s="24" t="s">
        <v>23</v>
      </c>
      <c r="F39" s="13">
        <f t="shared" si="0"/>
        <v>333366.95</v>
      </c>
      <c r="G39" s="13">
        <v>2333568.65</v>
      </c>
      <c r="H39" s="14">
        <v>0.86250000000000004</v>
      </c>
      <c r="I39" s="13">
        <f t="shared" si="1"/>
        <v>45837.955624999981</v>
      </c>
      <c r="J39" s="13">
        <f t="shared" si="2"/>
        <v>320865.68937499984</v>
      </c>
    </row>
    <row r="40" spans="1:10" x14ac:dyDescent="0.35">
      <c r="A40" s="8"/>
      <c r="B40" s="24" t="s">
        <v>5</v>
      </c>
      <c r="C40" s="21" t="s">
        <v>298</v>
      </c>
      <c r="D40" s="21" t="s">
        <v>24</v>
      </c>
      <c r="E40" s="24" t="s">
        <v>25</v>
      </c>
      <c r="F40" s="13">
        <f t="shared" si="0"/>
        <v>405528.38</v>
      </c>
      <c r="G40" s="13">
        <v>2838698.66</v>
      </c>
      <c r="H40" s="14">
        <v>0.86250000000000004</v>
      </c>
      <c r="I40" s="13">
        <f t="shared" si="1"/>
        <v>55760.152250000006</v>
      </c>
      <c r="J40" s="13">
        <f t="shared" si="2"/>
        <v>390321.06575000007</v>
      </c>
    </row>
    <row r="41" spans="1:10" x14ac:dyDescent="0.35">
      <c r="A41" s="8"/>
      <c r="B41" s="24" t="s">
        <v>5</v>
      </c>
      <c r="C41" s="21" t="s">
        <v>298</v>
      </c>
      <c r="D41" s="21" t="s">
        <v>26</v>
      </c>
      <c r="E41" s="24" t="s">
        <v>12</v>
      </c>
      <c r="F41" s="13">
        <f t="shared" si="0"/>
        <v>291430.57</v>
      </c>
      <c r="G41" s="13">
        <v>2040013.99</v>
      </c>
      <c r="H41" s="14">
        <v>0.86250000000000004</v>
      </c>
      <c r="I41" s="13">
        <f t="shared" si="1"/>
        <v>40071.703374999975</v>
      </c>
      <c r="J41" s="13">
        <f t="shared" si="2"/>
        <v>280501.92362499982</v>
      </c>
    </row>
    <row r="42" spans="1:10" x14ac:dyDescent="0.35">
      <c r="A42" s="8"/>
      <c r="B42" s="24" t="s">
        <v>5</v>
      </c>
      <c r="C42" s="21" t="s">
        <v>298</v>
      </c>
      <c r="D42" s="21" t="s">
        <v>114</v>
      </c>
      <c r="E42" s="24" t="s">
        <v>13</v>
      </c>
      <c r="F42" s="13">
        <f t="shared" si="0"/>
        <v>98466.49</v>
      </c>
      <c r="G42" s="13">
        <v>689265.43</v>
      </c>
      <c r="H42" s="14">
        <v>0.86250000000000004</v>
      </c>
      <c r="I42" s="13">
        <f t="shared" si="1"/>
        <v>13539.142375000005</v>
      </c>
      <c r="J42" s="13">
        <f t="shared" si="2"/>
        <v>94773.996625000029</v>
      </c>
    </row>
    <row r="43" spans="1:10" x14ac:dyDescent="0.35">
      <c r="A43" s="8"/>
      <c r="B43" s="24" t="s">
        <v>5</v>
      </c>
      <c r="C43" s="21" t="s">
        <v>298</v>
      </c>
      <c r="D43" s="21" t="s">
        <v>115</v>
      </c>
      <c r="E43" s="24" t="s">
        <v>116</v>
      </c>
      <c r="F43" s="13">
        <f t="shared" si="0"/>
        <v>0</v>
      </c>
      <c r="G43" s="13">
        <v>0</v>
      </c>
      <c r="H43" s="14">
        <v>0.86250000000000004</v>
      </c>
      <c r="I43" s="13">
        <f t="shared" si="1"/>
        <v>0</v>
      </c>
      <c r="J43" s="13">
        <f t="shared" si="2"/>
        <v>0</v>
      </c>
    </row>
    <row r="44" spans="1:10" x14ac:dyDescent="0.35">
      <c r="A44" s="8"/>
      <c r="B44" s="24" t="s">
        <v>4</v>
      </c>
      <c r="C44" s="21" t="s">
        <v>298</v>
      </c>
      <c r="D44" s="21" t="s">
        <v>117</v>
      </c>
      <c r="E44" s="24" t="s">
        <v>118</v>
      </c>
      <c r="F44" s="13">
        <f t="shared" si="0"/>
        <v>0.01</v>
      </c>
      <c r="G44" s="13">
        <v>7.0000000000000007E-2</v>
      </c>
      <c r="H44" s="14">
        <v>0.86250000000000004</v>
      </c>
      <c r="I44" s="13">
        <f t="shared" si="1"/>
        <v>1.3749999999999993E-3</v>
      </c>
      <c r="J44" s="13">
        <f t="shared" si="2"/>
        <v>9.6249999999999947E-3</v>
      </c>
    </row>
    <row r="45" spans="1:10" x14ac:dyDescent="0.35">
      <c r="A45" s="8"/>
      <c r="B45" s="24" t="s">
        <v>3</v>
      </c>
      <c r="C45" s="21" t="s">
        <v>298</v>
      </c>
      <c r="D45" s="21" t="s">
        <v>20</v>
      </c>
      <c r="E45" s="24" t="s">
        <v>21</v>
      </c>
      <c r="F45" s="13">
        <f t="shared" si="0"/>
        <v>0</v>
      </c>
      <c r="G45" s="13">
        <v>0</v>
      </c>
      <c r="H45" s="14">
        <v>0.86250000000000004</v>
      </c>
      <c r="I45" s="13">
        <f t="shared" si="1"/>
        <v>0</v>
      </c>
      <c r="J45" s="13">
        <f t="shared" si="2"/>
        <v>0</v>
      </c>
    </row>
    <row r="46" spans="1:10" x14ac:dyDescent="0.35">
      <c r="A46" s="8"/>
      <c r="B46" s="24" t="s">
        <v>4</v>
      </c>
      <c r="C46" s="21" t="s">
        <v>298</v>
      </c>
      <c r="D46" s="21" t="s">
        <v>119</v>
      </c>
      <c r="E46" s="24" t="s">
        <v>120</v>
      </c>
      <c r="F46" s="13">
        <f t="shared" si="0"/>
        <v>0</v>
      </c>
      <c r="G46" s="13">
        <v>0</v>
      </c>
      <c r="H46" s="14">
        <v>0.86250000000000004</v>
      </c>
      <c r="I46" s="13">
        <f t="shared" si="1"/>
        <v>0</v>
      </c>
      <c r="J46" s="13">
        <f t="shared" si="2"/>
        <v>0</v>
      </c>
    </row>
    <row r="47" spans="1:10" x14ac:dyDescent="0.35">
      <c r="A47" s="8"/>
      <c r="B47" s="24" t="s">
        <v>4</v>
      </c>
      <c r="C47" s="21" t="s">
        <v>298</v>
      </c>
      <c r="D47" s="21" t="s">
        <v>121</v>
      </c>
      <c r="E47" s="24" t="s">
        <v>122</v>
      </c>
      <c r="F47" s="13">
        <f t="shared" si="0"/>
        <v>15422.69</v>
      </c>
      <c r="G47" s="13">
        <v>107958.83</v>
      </c>
      <c r="H47" s="14">
        <v>0.86250000000000004</v>
      </c>
      <c r="I47" s="13">
        <f t="shared" si="1"/>
        <v>2120.6198749999999</v>
      </c>
      <c r="J47" s="13">
        <f t="shared" si="2"/>
        <v>14844.339124999999</v>
      </c>
    </row>
    <row r="48" spans="1:10" x14ac:dyDescent="0.35">
      <c r="A48" s="8"/>
      <c r="B48" s="24" t="s">
        <v>4</v>
      </c>
      <c r="C48" s="21" t="s">
        <v>298</v>
      </c>
      <c r="D48" s="21" t="s">
        <v>123</v>
      </c>
      <c r="E48" s="24" t="s">
        <v>124</v>
      </c>
      <c r="F48" s="13">
        <f t="shared" si="0"/>
        <v>0</v>
      </c>
      <c r="G48" s="13">
        <v>0</v>
      </c>
      <c r="H48" s="14">
        <v>0.86250000000000004</v>
      </c>
      <c r="I48" s="13">
        <f t="shared" si="1"/>
        <v>0</v>
      </c>
      <c r="J48" s="13">
        <f t="shared" si="2"/>
        <v>0</v>
      </c>
    </row>
    <row r="49" spans="1:10" x14ac:dyDescent="0.35">
      <c r="A49" s="8"/>
      <c r="B49" s="24" t="s">
        <v>4</v>
      </c>
      <c r="C49" s="21" t="s">
        <v>298</v>
      </c>
      <c r="D49" s="21" t="s">
        <v>125</v>
      </c>
      <c r="E49" s="24" t="s">
        <v>126</v>
      </c>
      <c r="F49" s="13">
        <f t="shared" si="0"/>
        <v>0</v>
      </c>
      <c r="G49" s="13">
        <v>0</v>
      </c>
      <c r="H49" s="14">
        <v>0.86250000000000004</v>
      </c>
      <c r="I49" s="13">
        <f t="shared" si="1"/>
        <v>0</v>
      </c>
      <c r="J49" s="13">
        <f t="shared" si="2"/>
        <v>0</v>
      </c>
    </row>
    <row r="50" spans="1:10" x14ac:dyDescent="0.35">
      <c r="A50" s="8"/>
      <c r="B50" s="24" t="s">
        <v>4</v>
      </c>
      <c r="C50" s="21" t="s">
        <v>298</v>
      </c>
      <c r="D50" s="21" t="s">
        <v>127</v>
      </c>
      <c r="E50" s="24" t="s">
        <v>128</v>
      </c>
      <c r="F50" s="13">
        <f t="shared" si="0"/>
        <v>0</v>
      </c>
      <c r="G50" s="13">
        <v>0</v>
      </c>
      <c r="H50" s="14">
        <v>0.86250000000000004</v>
      </c>
      <c r="I50" s="13">
        <f t="shared" si="1"/>
        <v>0</v>
      </c>
      <c r="J50" s="13">
        <f t="shared" si="2"/>
        <v>0</v>
      </c>
    </row>
    <row r="51" spans="1:10" x14ac:dyDescent="0.35">
      <c r="A51" s="8"/>
      <c r="B51" s="24" t="s">
        <v>4</v>
      </c>
      <c r="C51" s="21" t="s">
        <v>298</v>
      </c>
      <c r="D51" s="21" t="s">
        <v>129</v>
      </c>
      <c r="E51" s="24" t="s">
        <v>130</v>
      </c>
      <c r="F51" s="13">
        <f t="shared" si="0"/>
        <v>0</v>
      </c>
      <c r="G51" s="13">
        <v>0</v>
      </c>
      <c r="H51" s="14">
        <v>0.86250000000000004</v>
      </c>
      <c r="I51" s="13">
        <f t="shared" si="1"/>
        <v>0</v>
      </c>
      <c r="J51" s="13">
        <f t="shared" si="2"/>
        <v>0</v>
      </c>
    </row>
    <row r="52" spans="1:10" x14ac:dyDescent="0.35">
      <c r="A52" s="8"/>
      <c r="B52" s="24" t="s">
        <v>4</v>
      </c>
      <c r="C52" s="21" t="s">
        <v>303</v>
      </c>
      <c r="D52" s="21" t="s">
        <v>131</v>
      </c>
      <c r="E52" s="24" t="s">
        <v>132</v>
      </c>
      <c r="F52" s="13">
        <f t="shared" si="0"/>
        <v>0</v>
      </c>
      <c r="G52" s="13">
        <v>0</v>
      </c>
      <c r="H52" s="14">
        <v>0.86250000000000004</v>
      </c>
      <c r="I52" s="13">
        <f t="shared" si="1"/>
        <v>0</v>
      </c>
      <c r="J52" s="13">
        <f t="shared" si="2"/>
        <v>0</v>
      </c>
    </row>
    <row r="53" spans="1:10" x14ac:dyDescent="0.35">
      <c r="A53" s="8"/>
      <c r="B53" s="24" t="s">
        <v>4</v>
      </c>
      <c r="C53" s="21" t="s">
        <v>303</v>
      </c>
      <c r="D53" s="21" t="s">
        <v>133</v>
      </c>
      <c r="E53" s="24" t="s">
        <v>134</v>
      </c>
      <c r="F53" s="13">
        <f t="shared" si="0"/>
        <v>0</v>
      </c>
      <c r="G53" s="13">
        <v>0</v>
      </c>
      <c r="H53" s="14">
        <v>0.86250000000000004</v>
      </c>
      <c r="I53" s="13">
        <f t="shared" si="1"/>
        <v>0</v>
      </c>
      <c r="J53" s="13">
        <f t="shared" si="2"/>
        <v>0</v>
      </c>
    </row>
    <row r="54" spans="1:10" x14ac:dyDescent="0.35">
      <c r="A54" s="8"/>
      <c r="B54" s="24" t="s">
        <v>4</v>
      </c>
      <c r="C54" s="21" t="s">
        <v>303</v>
      </c>
      <c r="D54" s="21" t="s">
        <v>135</v>
      </c>
      <c r="E54" s="24" t="s">
        <v>136</v>
      </c>
      <c r="F54" s="13">
        <f t="shared" si="0"/>
        <v>148.12</v>
      </c>
      <c r="G54" s="13">
        <v>637656.6</v>
      </c>
      <c r="H54" s="14">
        <v>0.86250000000000004</v>
      </c>
      <c r="I54" s="13">
        <f t="shared" si="1"/>
        <v>20.366499999999995</v>
      </c>
      <c r="J54" s="13">
        <f t="shared" si="2"/>
        <v>87677.782499999972</v>
      </c>
    </row>
    <row r="55" spans="1:10" x14ac:dyDescent="0.35">
      <c r="A55" s="8"/>
      <c r="B55" s="24" t="s">
        <v>4</v>
      </c>
      <c r="C55" s="21" t="s">
        <v>303</v>
      </c>
      <c r="D55" s="21" t="s">
        <v>137</v>
      </c>
      <c r="E55" s="24" t="s">
        <v>138</v>
      </c>
      <c r="F55" s="13">
        <f t="shared" si="0"/>
        <v>0</v>
      </c>
      <c r="G55" s="13">
        <v>0</v>
      </c>
      <c r="H55" s="14">
        <v>0.86250000000000004</v>
      </c>
      <c r="I55" s="13">
        <f t="shared" si="1"/>
        <v>0</v>
      </c>
      <c r="J55" s="13">
        <f t="shared" si="2"/>
        <v>0</v>
      </c>
    </row>
    <row r="56" spans="1:10" x14ac:dyDescent="0.35">
      <c r="A56" s="8"/>
      <c r="B56" s="24" t="s">
        <v>4</v>
      </c>
      <c r="C56" s="21" t="s">
        <v>303</v>
      </c>
      <c r="D56" s="21" t="s">
        <v>139</v>
      </c>
      <c r="E56" s="24" t="s">
        <v>140</v>
      </c>
      <c r="F56" s="13">
        <f t="shared" si="0"/>
        <v>0</v>
      </c>
      <c r="G56" s="13">
        <v>0</v>
      </c>
      <c r="H56" s="14">
        <v>0.86250000000000004</v>
      </c>
      <c r="I56" s="13">
        <f t="shared" si="1"/>
        <v>0</v>
      </c>
      <c r="J56" s="13">
        <f t="shared" si="2"/>
        <v>0</v>
      </c>
    </row>
    <row r="57" spans="1:10" x14ac:dyDescent="0.35">
      <c r="A57" s="8"/>
      <c r="B57" s="24" t="s">
        <v>4</v>
      </c>
      <c r="C57" s="21" t="s">
        <v>303</v>
      </c>
      <c r="D57" s="21" t="s">
        <v>141</v>
      </c>
      <c r="E57" s="24" t="s">
        <v>142</v>
      </c>
      <c r="F57" s="13">
        <f t="shared" si="0"/>
        <v>0</v>
      </c>
      <c r="G57" s="13">
        <v>0</v>
      </c>
      <c r="H57" s="14">
        <v>0.86250000000000004</v>
      </c>
      <c r="I57" s="13">
        <f t="shared" si="1"/>
        <v>0</v>
      </c>
      <c r="J57" s="13">
        <f t="shared" si="2"/>
        <v>0</v>
      </c>
    </row>
    <row r="58" spans="1:10" x14ac:dyDescent="0.35">
      <c r="A58" s="8"/>
      <c r="B58" s="24" t="s">
        <v>4</v>
      </c>
      <c r="C58" s="21" t="s">
        <v>298</v>
      </c>
      <c r="D58" s="21" t="s">
        <v>143</v>
      </c>
      <c r="E58" s="24" t="s">
        <v>144</v>
      </c>
      <c r="F58" s="13">
        <f t="shared" si="0"/>
        <v>0</v>
      </c>
      <c r="G58" s="13">
        <v>0</v>
      </c>
      <c r="H58" s="14">
        <v>0.86250000000000004</v>
      </c>
      <c r="I58" s="13">
        <f t="shared" si="1"/>
        <v>0</v>
      </c>
      <c r="J58" s="13">
        <f t="shared" si="2"/>
        <v>0</v>
      </c>
    </row>
    <row r="59" spans="1:10" x14ac:dyDescent="0.35">
      <c r="A59" s="16"/>
      <c r="B59" s="24" t="s">
        <v>4</v>
      </c>
      <c r="C59" s="21" t="s">
        <v>303</v>
      </c>
      <c r="D59" s="21" t="s">
        <v>145</v>
      </c>
      <c r="E59" s="24" t="s">
        <v>146</v>
      </c>
      <c r="F59" s="17">
        <f t="shared" si="0"/>
        <v>0</v>
      </c>
      <c r="G59" s="13">
        <v>0</v>
      </c>
      <c r="H59" s="18">
        <v>0.86250000000000004</v>
      </c>
      <c r="I59" s="17">
        <f t="shared" si="1"/>
        <v>0</v>
      </c>
      <c r="J59" s="17">
        <f t="shared" si="2"/>
        <v>0</v>
      </c>
    </row>
    <row r="60" spans="1:10" x14ac:dyDescent="0.35">
      <c r="A60" s="8"/>
      <c r="B60" s="24" t="s">
        <v>3</v>
      </c>
      <c r="C60" s="21" t="s">
        <v>298</v>
      </c>
      <c r="D60" s="21" t="s">
        <v>20</v>
      </c>
      <c r="E60" s="24" t="s">
        <v>21</v>
      </c>
      <c r="F60" s="13">
        <f t="shared" si="0"/>
        <v>0</v>
      </c>
      <c r="G60" s="13">
        <v>0</v>
      </c>
      <c r="H60" s="14">
        <v>0.86250000000000004</v>
      </c>
      <c r="I60" s="13">
        <f t="shared" si="1"/>
        <v>0</v>
      </c>
      <c r="J60" s="13">
        <f t="shared" si="2"/>
        <v>0</v>
      </c>
    </row>
    <row r="61" spans="1:10" x14ac:dyDescent="0.35">
      <c r="A61" s="8"/>
      <c r="B61" s="24" t="s">
        <v>3</v>
      </c>
      <c r="C61" s="21" t="s">
        <v>298</v>
      </c>
      <c r="D61" s="21" t="s">
        <v>20</v>
      </c>
      <c r="E61" s="24" t="s">
        <v>21</v>
      </c>
      <c r="F61" s="13">
        <f t="shared" si="0"/>
        <v>0</v>
      </c>
      <c r="G61" s="13">
        <v>0</v>
      </c>
      <c r="H61" s="14">
        <v>0.86250000000000004</v>
      </c>
      <c r="I61" s="13">
        <f t="shared" si="1"/>
        <v>0</v>
      </c>
      <c r="J61" s="13">
        <f t="shared" si="2"/>
        <v>0</v>
      </c>
    </row>
    <row r="62" spans="1:10" x14ac:dyDescent="0.35">
      <c r="A62" s="16"/>
      <c r="B62" s="24" t="s">
        <v>4</v>
      </c>
      <c r="C62" s="21" t="s">
        <v>298</v>
      </c>
      <c r="D62" s="21" t="s">
        <v>27</v>
      </c>
      <c r="E62" s="24" t="s">
        <v>28</v>
      </c>
      <c r="F62" s="17">
        <f t="shared" si="0"/>
        <v>0</v>
      </c>
      <c r="G62" s="13">
        <v>0</v>
      </c>
      <c r="H62" s="18">
        <v>0.86250000000000004</v>
      </c>
      <c r="I62" s="17">
        <f t="shared" si="1"/>
        <v>0</v>
      </c>
      <c r="J62" s="17">
        <f t="shared" si="2"/>
        <v>0</v>
      </c>
    </row>
    <row r="63" spans="1:10" x14ac:dyDescent="0.35">
      <c r="A63" s="8"/>
      <c r="B63" s="24" t="s">
        <v>6</v>
      </c>
      <c r="C63" s="21" t="s">
        <v>298</v>
      </c>
      <c r="D63" s="21" t="s">
        <v>29</v>
      </c>
      <c r="E63" s="24" t="s">
        <v>30</v>
      </c>
      <c r="F63" s="13">
        <f t="shared" si="0"/>
        <v>106512.24</v>
      </c>
      <c r="G63" s="13">
        <v>745585.68</v>
      </c>
      <c r="H63" s="14">
        <v>0.86250000000000004</v>
      </c>
      <c r="I63" s="13">
        <f t="shared" si="1"/>
        <v>14645.432999999994</v>
      </c>
      <c r="J63" s="13">
        <f t="shared" si="2"/>
        <v>102518.03099999996</v>
      </c>
    </row>
    <row r="64" spans="1:10" x14ac:dyDescent="0.35">
      <c r="A64" s="8"/>
      <c r="B64" s="24" t="s">
        <v>4</v>
      </c>
      <c r="C64" s="21" t="s">
        <v>298</v>
      </c>
      <c r="D64" s="21" t="s">
        <v>117</v>
      </c>
      <c r="E64" s="24" t="s">
        <v>118</v>
      </c>
      <c r="F64" s="13">
        <f t="shared" si="0"/>
        <v>0.01</v>
      </c>
      <c r="G64" s="13">
        <v>7.0000000000000007E-2</v>
      </c>
      <c r="H64" s="14">
        <v>0.86250000000000004</v>
      </c>
      <c r="I64" s="13">
        <f t="shared" si="1"/>
        <v>1.3749999999999993E-3</v>
      </c>
      <c r="J64" s="13">
        <f t="shared" si="2"/>
        <v>9.6249999999999947E-3</v>
      </c>
    </row>
    <row r="65" spans="1:10" x14ac:dyDescent="0.35">
      <c r="A65" s="8"/>
      <c r="B65" s="24" t="s">
        <v>3</v>
      </c>
      <c r="C65" s="21" t="s">
        <v>298</v>
      </c>
      <c r="D65" s="21" t="s">
        <v>20</v>
      </c>
      <c r="E65" s="24" t="s">
        <v>21</v>
      </c>
      <c r="F65" s="13">
        <f t="shared" si="0"/>
        <v>0</v>
      </c>
      <c r="G65" s="13">
        <v>0</v>
      </c>
      <c r="H65" s="14">
        <v>0.86250000000000004</v>
      </c>
      <c r="I65" s="13">
        <f t="shared" si="1"/>
        <v>0</v>
      </c>
      <c r="J65" s="13">
        <f t="shared" si="2"/>
        <v>0</v>
      </c>
    </row>
    <row r="66" spans="1:10" x14ac:dyDescent="0.35">
      <c r="A66" s="8"/>
      <c r="B66" s="24" t="s">
        <v>4</v>
      </c>
      <c r="C66" s="21" t="s">
        <v>298</v>
      </c>
      <c r="D66" s="21" t="s">
        <v>304</v>
      </c>
      <c r="E66" s="24" t="s">
        <v>305</v>
      </c>
      <c r="F66" s="13">
        <f t="shared" si="0"/>
        <v>72322.33</v>
      </c>
      <c r="G66" s="13">
        <v>506256.31</v>
      </c>
      <c r="H66" s="14">
        <v>0.86250000000000004</v>
      </c>
      <c r="I66" s="13">
        <f t="shared" si="1"/>
        <v>9944.3203749999939</v>
      </c>
      <c r="J66" s="13">
        <f t="shared" si="2"/>
        <v>69610.242624999955</v>
      </c>
    </row>
    <row r="67" spans="1:10" x14ac:dyDescent="0.35">
      <c r="A67" s="8"/>
      <c r="B67" s="24" t="s">
        <v>4</v>
      </c>
      <c r="C67" s="21" t="s">
        <v>303</v>
      </c>
      <c r="D67" s="21" t="s">
        <v>149</v>
      </c>
      <c r="E67" s="24" t="s">
        <v>150</v>
      </c>
      <c r="F67" s="13">
        <f t="shared" si="0"/>
        <v>1681.55</v>
      </c>
      <c r="G67" s="13">
        <v>7239072.75</v>
      </c>
      <c r="H67" s="14">
        <v>0.86250000000000004</v>
      </c>
      <c r="I67" s="13">
        <f t="shared" si="1"/>
        <v>231.21312499999996</v>
      </c>
      <c r="J67" s="13">
        <f t="shared" si="2"/>
        <v>995372.50312499981</v>
      </c>
    </row>
    <row r="68" spans="1:10" x14ac:dyDescent="0.35">
      <c r="A68" s="8"/>
      <c r="B68" s="24" t="s">
        <v>3</v>
      </c>
      <c r="C68" s="21" t="s">
        <v>298</v>
      </c>
      <c r="D68" s="21" t="s">
        <v>20</v>
      </c>
      <c r="E68" s="24" t="s">
        <v>21</v>
      </c>
      <c r="F68" s="13">
        <f t="shared" si="0"/>
        <v>0</v>
      </c>
      <c r="G68" s="13">
        <v>0</v>
      </c>
      <c r="H68" s="14">
        <v>0.86250000000000004</v>
      </c>
      <c r="I68" s="13">
        <f t="shared" si="1"/>
        <v>0</v>
      </c>
      <c r="J68" s="13">
        <f t="shared" si="2"/>
        <v>0</v>
      </c>
    </row>
    <row r="69" spans="1:10" x14ac:dyDescent="0.35">
      <c r="A69" s="8"/>
      <c r="B69" s="24" t="s">
        <v>3</v>
      </c>
      <c r="C69" s="21" t="s">
        <v>298</v>
      </c>
      <c r="D69" s="21" t="s">
        <v>20</v>
      </c>
      <c r="E69" s="24" t="s">
        <v>21</v>
      </c>
      <c r="F69" s="13">
        <f t="shared" si="0"/>
        <v>0</v>
      </c>
      <c r="G69" s="13">
        <v>0</v>
      </c>
      <c r="H69" s="14">
        <v>0.86250000000000004</v>
      </c>
      <c r="I69" s="13">
        <f t="shared" si="1"/>
        <v>0</v>
      </c>
      <c r="J69" s="13">
        <f t="shared" si="2"/>
        <v>0</v>
      </c>
    </row>
    <row r="70" spans="1:10" x14ac:dyDescent="0.35">
      <c r="A70" s="8"/>
      <c r="B70" s="24" t="s">
        <v>3</v>
      </c>
      <c r="C70" s="21" t="s">
        <v>298</v>
      </c>
      <c r="D70" s="21" t="s">
        <v>20</v>
      </c>
      <c r="E70" s="24" t="s">
        <v>21</v>
      </c>
      <c r="F70" s="13">
        <f t="shared" si="0"/>
        <v>0</v>
      </c>
      <c r="G70" s="13">
        <v>0</v>
      </c>
      <c r="H70" s="14">
        <v>0.86250000000000004</v>
      </c>
      <c r="I70" s="13">
        <f t="shared" si="1"/>
        <v>0</v>
      </c>
      <c r="J70" s="13">
        <f t="shared" si="2"/>
        <v>0</v>
      </c>
    </row>
    <row r="71" spans="1:10" x14ac:dyDescent="0.35">
      <c r="A71" s="8"/>
      <c r="B71" s="24" t="s">
        <v>6</v>
      </c>
      <c r="C71" s="21" t="s">
        <v>298</v>
      </c>
      <c r="D71" s="21" t="s">
        <v>151</v>
      </c>
      <c r="E71" s="24" t="s">
        <v>152</v>
      </c>
      <c r="F71" s="13">
        <f t="shared" si="0"/>
        <v>597458.57999999996</v>
      </c>
      <c r="G71" s="13">
        <v>4182210.06</v>
      </c>
      <c r="H71" s="14">
        <v>0.86250000000000004</v>
      </c>
      <c r="I71" s="13">
        <f t="shared" si="1"/>
        <v>82150.554749999996</v>
      </c>
      <c r="J71" s="13">
        <f t="shared" si="2"/>
        <v>575053.88324999996</v>
      </c>
    </row>
    <row r="72" spans="1:10" x14ac:dyDescent="0.35">
      <c r="A72" s="16"/>
      <c r="B72" s="24" t="s">
        <v>5</v>
      </c>
      <c r="C72" s="21" t="s">
        <v>298</v>
      </c>
      <c r="D72" s="21" t="s">
        <v>31</v>
      </c>
      <c r="E72" s="24" t="s">
        <v>32</v>
      </c>
      <c r="F72" s="17">
        <f t="shared" ref="F72:F73" si="3">G72/C72</f>
        <v>0</v>
      </c>
      <c r="G72" s="13">
        <v>0</v>
      </c>
      <c r="H72" s="18">
        <v>0.86250000000000004</v>
      </c>
      <c r="I72" s="17">
        <f t="shared" ref="I72:I73" si="4">J72/C72</f>
        <v>0</v>
      </c>
      <c r="J72" s="17">
        <f t="shared" si="2"/>
        <v>0</v>
      </c>
    </row>
    <row r="73" spans="1:10" x14ac:dyDescent="0.35">
      <c r="A73" s="8"/>
      <c r="B73" s="24" t="s">
        <v>5</v>
      </c>
      <c r="C73" s="21" t="s">
        <v>298</v>
      </c>
      <c r="D73" s="21" t="s">
        <v>33</v>
      </c>
      <c r="E73" s="24" t="s">
        <v>32</v>
      </c>
      <c r="F73" s="13">
        <f t="shared" si="3"/>
        <v>0</v>
      </c>
      <c r="G73" s="13">
        <v>0</v>
      </c>
      <c r="H73" s="14">
        <v>0.86250000000000004</v>
      </c>
      <c r="I73" s="13">
        <f t="shared" si="4"/>
        <v>0</v>
      </c>
      <c r="J73" s="13">
        <f t="shared" ref="J73:J128" si="5">G73-G73*H73</f>
        <v>0</v>
      </c>
    </row>
    <row r="74" spans="1:10" x14ac:dyDescent="0.35">
      <c r="A74" s="6">
        <v>20</v>
      </c>
      <c r="B74" s="25"/>
      <c r="C74" s="22" t="s">
        <v>251</v>
      </c>
      <c r="D74" s="22"/>
      <c r="E74" s="25" t="s">
        <v>161</v>
      </c>
      <c r="F74" s="11">
        <f t="shared" ref="F74:F132" si="6">G74/C74</f>
        <v>493415.71500000008</v>
      </c>
      <c r="G74" s="11">
        <f>SUM(G75:G133)</f>
        <v>11841977.160000002</v>
      </c>
      <c r="H74" s="12">
        <v>0.86250000000000004</v>
      </c>
      <c r="I74" s="11">
        <f t="shared" ref="I74:I132" si="7">J74/C74</f>
        <v>67844.660812500006</v>
      </c>
      <c r="J74" s="11">
        <f t="shared" si="5"/>
        <v>1628271.8595000003</v>
      </c>
    </row>
    <row r="75" spans="1:10" x14ac:dyDescent="0.35">
      <c r="A75" s="8"/>
      <c r="B75" s="24" t="s">
        <v>3</v>
      </c>
      <c r="C75" s="21" t="s">
        <v>251</v>
      </c>
      <c r="D75" s="21" t="s">
        <v>162</v>
      </c>
      <c r="E75" s="24" t="s">
        <v>163</v>
      </c>
      <c r="F75" s="13">
        <f t="shared" si="6"/>
        <v>13527.910000000002</v>
      </c>
      <c r="G75" s="13">
        <v>324669.84000000003</v>
      </c>
      <c r="H75" s="14">
        <v>0.86250000000000004</v>
      </c>
      <c r="I75" s="13">
        <f t="shared" si="7"/>
        <v>1860.0876250000001</v>
      </c>
      <c r="J75" s="13">
        <f t="shared" si="5"/>
        <v>44642.103000000003</v>
      </c>
    </row>
    <row r="76" spans="1:10" x14ac:dyDescent="0.35">
      <c r="A76" s="8"/>
      <c r="B76" s="24" t="s">
        <v>3</v>
      </c>
      <c r="C76" s="21" t="s">
        <v>251</v>
      </c>
      <c r="D76" s="21" t="s">
        <v>20</v>
      </c>
      <c r="E76" s="24" t="s">
        <v>21</v>
      </c>
      <c r="F76" s="13">
        <f t="shared" si="6"/>
        <v>0</v>
      </c>
      <c r="G76" s="13">
        <v>0</v>
      </c>
      <c r="H76" s="14">
        <v>0.86250000000000004</v>
      </c>
      <c r="I76" s="13">
        <f t="shared" si="7"/>
        <v>0</v>
      </c>
      <c r="J76" s="13">
        <f t="shared" si="5"/>
        <v>0</v>
      </c>
    </row>
    <row r="77" spans="1:10" x14ac:dyDescent="0.35">
      <c r="A77" s="8"/>
      <c r="B77" s="24" t="s">
        <v>3</v>
      </c>
      <c r="C77" s="21" t="s">
        <v>251</v>
      </c>
      <c r="D77" s="21" t="s">
        <v>20</v>
      </c>
      <c r="E77" s="24" t="s">
        <v>21</v>
      </c>
      <c r="F77" s="13">
        <f t="shared" si="6"/>
        <v>0</v>
      </c>
      <c r="G77" s="13">
        <v>0</v>
      </c>
      <c r="H77" s="14">
        <v>0.86250000000000004</v>
      </c>
      <c r="I77" s="13">
        <f t="shared" si="7"/>
        <v>0</v>
      </c>
      <c r="J77" s="13">
        <f t="shared" si="5"/>
        <v>0</v>
      </c>
    </row>
    <row r="78" spans="1:10" x14ac:dyDescent="0.35">
      <c r="A78" s="8"/>
      <c r="B78" s="24" t="s">
        <v>3</v>
      </c>
      <c r="C78" s="21" t="s">
        <v>251</v>
      </c>
      <c r="D78" s="21" t="s">
        <v>252</v>
      </c>
      <c r="E78" s="24" t="s">
        <v>253</v>
      </c>
      <c r="F78" s="13">
        <f t="shared" si="6"/>
        <v>128481.32</v>
      </c>
      <c r="G78" s="13">
        <v>3083551.68</v>
      </c>
      <c r="H78" s="14">
        <v>0.86250000000000004</v>
      </c>
      <c r="I78" s="13">
        <f t="shared" si="7"/>
        <v>17666.181499999988</v>
      </c>
      <c r="J78" s="13">
        <f t="shared" si="5"/>
        <v>423988.35599999968</v>
      </c>
    </row>
    <row r="79" spans="1:10" x14ac:dyDescent="0.35">
      <c r="A79" s="8"/>
      <c r="B79" s="24" t="s">
        <v>3</v>
      </c>
      <c r="C79" s="21" t="s">
        <v>254</v>
      </c>
      <c r="D79" s="21" t="s">
        <v>164</v>
      </c>
      <c r="E79" s="24" t="s">
        <v>255</v>
      </c>
      <c r="F79" s="13">
        <f t="shared" si="6"/>
        <v>1624.04</v>
      </c>
      <c r="G79" s="13">
        <v>77953.919999999998</v>
      </c>
      <c r="H79" s="14">
        <v>0.86250000000000004</v>
      </c>
      <c r="I79" s="13">
        <f t="shared" si="7"/>
        <v>223.3054999999998</v>
      </c>
      <c r="J79" s="13">
        <f t="shared" si="5"/>
        <v>10718.66399999999</v>
      </c>
    </row>
    <row r="80" spans="1:10" x14ac:dyDescent="0.35">
      <c r="A80" s="8"/>
      <c r="B80" s="24" t="s">
        <v>3</v>
      </c>
      <c r="C80" s="21" t="s">
        <v>251</v>
      </c>
      <c r="D80" s="21" t="s">
        <v>165</v>
      </c>
      <c r="E80" s="24" t="s">
        <v>39</v>
      </c>
      <c r="F80" s="13">
        <f t="shared" si="6"/>
        <v>980</v>
      </c>
      <c r="G80" s="13">
        <v>23520</v>
      </c>
      <c r="H80" s="14">
        <v>0.86250000000000004</v>
      </c>
      <c r="I80" s="13">
        <f t="shared" si="7"/>
        <v>134.75</v>
      </c>
      <c r="J80" s="13">
        <f t="shared" si="5"/>
        <v>3234</v>
      </c>
    </row>
    <row r="81" spans="1:10" x14ac:dyDescent="0.35">
      <c r="A81" s="8"/>
      <c r="B81" s="24" t="s">
        <v>3</v>
      </c>
      <c r="C81" s="21" t="s">
        <v>251</v>
      </c>
      <c r="D81" s="21" t="s">
        <v>166</v>
      </c>
      <c r="E81" s="24" t="s">
        <v>38</v>
      </c>
      <c r="F81" s="13">
        <f t="shared" si="6"/>
        <v>980</v>
      </c>
      <c r="G81" s="13">
        <v>23520</v>
      </c>
      <c r="H81" s="14">
        <v>0.86250000000000004</v>
      </c>
      <c r="I81" s="13">
        <f t="shared" si="7"/>
        <v>134.75</v>
      </c>
      <c r="J81" s="13">
        <f t="shared" si="5"/>
        <v>3234</v>
      </c>
    </row>
    <row r="82" spans="1:10" x14ac:dyDescent="0.35">
      <c r="A82" s="8"/>
      <c r="B82" s="24" t="s">
        <v>3</v>
      </c>
      <c r="C82" s="21" t="s">
        <v>251</v>
      </c>
      <c r="D82" s="21" t="s">
        <v>40</v>
      </c>
      <c r="E82" s="24" t="s">
        <v>41</v>
      </c>
      <c r="F82" s="13">
        <f t="shared" si="6"/>
        <v>204</v>
      </c>
      <c r="G82" s="13">
        <v>4896</v>
      </c>
      <c r="H82" s="14">
        <v>0.86250000000000004</v>
      </c>
      <c r="I82" s="13">
        <f t="shared" si="7"/>
        <v>28.049999999999994</v>
      </c>
      <c r="J82" s="13">
        <f t="shared" si="5"/>
        <v>673.19999999999982</v>
      </c>
    </row>
    <row r="83" spans="1:10" x14ac:dyDescent="0.35">
      <c r="A83" s="8"/>
      <c r="B83" s="24" t="s">
        <v>3</v>
      </c>
      <c r="C83" s="21" t="s">
        <v>251</v>
      </c>
      <c r="D83" s="21" t="s">
        <v>42</v>
      </c>
      <c r="E83" s="24" t="s">
        <v>43</v>
      </c>
      <c r="F83" s="13">
        <f t="shared" si="6"/>
        <v>1755</v>
      </c>
      <c r="G83" s="13">
        <v>42120</v>
      </c>
      <c r="H83" s="14">
        <v>0.86250000000000004</v>
      </c>
      <c r="I83" s="13">
        <f t="shared" si="7"/>
        <v>241.3125</v>
      </c>
      <c r="J83" s="13">
        <f t="shared" si="5"/>
        <v>5791.5</v>
      </c>
    </row>
    <row r="84" spans="1:10" x14ac:dyDescent="0.35">
      <c r="A84" s="8"/>
      <c r="B84" s="24" t="s">
        <v>3</v>
      </c>
      <c r="C84" s="21" t="s">
        <v>251</v>
      </c>
      <c r="D84" s="21" t="s">
        <v>20</v>
      </c>
      <c r="E84" s="24" t="s">
        <v>21</v>
      </c>
      <c r="F84" s="13">
        <f t="shared" si="6"/>
        <v>0</v>
      </c>
      <c r="G84" s="13">
        <v>0</v>
      </c>
      <c r="H84" s="14">
        <v>0.86250000000000004</v>
      </c>
      <c r="I84" s="13">
        <f t="shared" si="7"/>
        <v>0</v>
      </c>
      <c r="J84" s="13">
        <f t="shared" si="5"/>
        <v>0</v>
      </c>
    </row>
    <row r="85" spans="1:10" x14ac:dyDescent="0.35">
      <c r="A85" s="8"/>
      <c r="B85" s="24" t="s">
        <v>3</v>
      </c>
      <c r="C85" s="21" t="s">
        <v>251</v>
      </c>
      <c r="D85" s="21" t="s">
        <v>20</v>
      </c>
      <c r="E85" s="24" t="s">
        <v>21</v>
      </c>
      <c r="F85" s="13">
        <f t="shared" si="6"/>
        <v>0</v>
      </c>
      <c r="G85" s="13">
        <v>0</v>
      </c>
      <c r="H85" s="14">
        <v>0.86250000000000004</v>
      </c>
      <c r="I85" s="13">
        <f t="shared" si="7"/>
        <v>0</v>
      </c>
      <c r="J85" s="13">
        <f t="shared" si="5"/>
        <v>0</v>
      </c>
    </row>
    <row r="86" spans="1:10" x14ac:dyDescent="0.35">
      <c r="A86" s="8"/>
      <c r="B86" s="24" t="s">
        <v>5</v>
      </c>
      <c r="C86" s="21" t="s">
        <v>251</v>
      </c>
      <c r="D86" s="21" t="s">
        <v>167</v>
      </c>
      <c r="E86" s="24" t="s">
        <v>11</v>
      </c>
      <c r="F86" s="13">
        <f t="shared" si="6"/>
        <v>0.02</v>
      </c>
      <c r="G86" s="13">
        <v>0.48</v>
      </c>
      <c r="H86" s="14">
        <v>0.86250000000000004</v>
      </c>
      <c r="I86" s="13">
        <f t="shared" si="7"/>
        <v>2.7500000000000003E-3</v>
      </c>
      <c r="J86" s="13">
        <f t="shared" si="5"/>
        <v>6.6000000000000003E-2</v>
      </c>
    </row>
    <row r="87" spans="1:10" x14ac:dyDescent="0.35">
      <c r="A87" s="8"/>
      <c r="B87" s="24" t="s">
        <v>5</v>
      </c>
      <c r="C87" s="21" t="s">
        <v>251</v>
      </c>
      <c r="D87" s="21" t="s">
        <v>22</v>
      </c>
      <c r="E87" s="24" t="s">
        <v>23</v>
      </c>
      <c r="F87" s="13">
        <f t="shared" si="6"/>
        <v>41768.42</v>
      </c>
      <c r="G87" s="13">
        <v>1002442.08</v>
      </c>
      <c r="H87" s="14">
        <v>0.86250000000000004</v>
      </c>
      <c r="I87" s="13">
        <f t="shared" si="7"/>
        <v>5743.1577499999985</v>
      </c>
      <c r="J87" s="13">
        <f t="shared" si="5"/>
        <v>137835.78599999996</v>
      </c>
    </row>
    <row r="88" spans="1:10" x14ac:dyDescent="0.35">
      <c r="A88" s="8"/>
      <c r="B88" s="24" t="s">
        <v>5</v>
      </c>
      <c r="C88" s="21" t="s">
        <v>251</v>
      </c>
      <c r="D88" s="21" t="s">
        <v>24</v>
      </c>
      <c r="E88" s="24" t="s">
        <v>25</v>
      </c>
      <c r="F88" s="13">
        <f t="shared" si="6"/>
        <v>53701.329999999994</v>
      </c>
      <c r="G88" s="13">
        <v>1288831.92</v>
      </c>
      <c r="H88" s="14">
        <v>0.86250000000000004</v>
      </c>
      <c r="I88" s="13">
        <f t="shared" si="7"/>
        <v>7383.9328749999986</v>
      </c>
      <c r="J88" s="13">
        <f t="shared" si="5"/>
        <v>177214.38899999997</v>
      </c>
    </row>
    <row r="89" spans="1:10" x14ac:dyDescent="0.35">
      <c r="A89" s="8"/>
      <c r="B89" s="24" t="s">
        <v>5</v>
      </c>
      <c r="C89" s="21" t="s">
        <v>251</v>
      </c>
      <c r="D89" s="21" t="s">
        <v>26</v>
      </c>
      <c r="E89" s="24" t="s">
        <v>12</v>
      </c>
      <c r="F89" s="13">
        <f t="shared" si="6"/>
        <v>27603.59</v>
      </c>
      <c r="G89" s="13">
        <v>662486.16</v>
      </c>
      <c r="H89" s="14">
        <v>0.86250000000000004</v>
      </c>
      <c r="I89" s="13">
        <f t="shared" si="7"/>
        <v>3795.4936249999978</v>
      </c>
      <c r="J89" s="13">
        <f t="shared" si="5"/>
        <v>91091.846999999951</v>
      </c>
    </row>
    <row r="90" spans="1:10" x14ac:dyDescent="0.35">
      <c r="A90" s="16"/>
      <c r="B90" s="24" t="s">
        <v>5</v>
      </c>
      <c r="C90" s="21" t="s">
        <v>251</v>
      </c>
      <c r="D90" s="21" t="s">
        <v>45</v>
      </c>
      <c r="E90" s="24" t="s">
        <v>13</v>
      </c>
      <c r="F90" s="17">
        <f t="shared" si="6"/>
        <v>9389.16</v>
      </c>
      <c r="G90" s="13">
        <v>225339.84</v>
      </c>
      <c r="H90" s="18">
        <v>0.86250000000000004</v>
      </c>
      <c r="I90" s="17">
        <f t="shared" si="7"/>
        <v>1291.0095000000001</v>
      </c>
      <c r="J90" s="17">
        <f t="shared" si="5"/>
        <v>30984.228000000003</v>
      </c>
    </row>
    <row r="91" spans="1:10" x14ac:dyDescent="0.35">
      <c r="A91" s="8"/>
      <c r="B91" s="24" t="s">
        <v>5</v>
      </c>
      <c r="C91" s="21" t="s">
        <v>251</v>
      </c>
      <c r="D91" s="21" t="s">
        <v>59</v>
      </c>
      <c r="E91" s="24" t="s">
        <v>60</v>
      </c>
      <c r="F91" s="13">
        <f t="shared" si="6"/>
        <v>0</v>
      </c>
      <c r="G91" s="13">
        <v>0</v>
      </c>
      <c r="H91" s="14">
        <v>0.86250000000000004</v>
      </c>
      <c r="I91" s="13">
        <f t="shared" si="7"/>
        <v>0</v>
      </c>
      <c r="J91" s="13">
        <f t="shared" si="5"/>
        <v>0</v>
      </c>
    </row>
    <row r="92" spans="1:10" x14ac:dyDescent="0.35">
      <c r="A92" s="8"/>
      <c r="B92" s="24" t="s">
        <v>3</v>
      </c>
      <c r="C92" s="21" t="s">
        <v>159</v>
      </c>
      <c r="D92" s="21" t="s">
        <v>168</v>
      </c>
      <c r="E92" s="24" t="s">
        <v>169</v>
      </c>
      <c r="F92" s="13">
        <f t="shared" si="6"/>
        <v>6435</v>
      </c>
      <c r="G92" s="13">
        <v>38610</v>
      </c>
      <c r="H92" s="14">
        <v>0.86250000000000004</v>
      </c>
      <c r="I92" s="13">
        <f t="shared" si="7"/>
        <v>884.8125</v>
      </c>
      <c r="J92" s="13">
        <f t="shared" si="5"/>
        <v>5308.875</v>
      </c>
    </row>
    <row r="93" spans="1:10" x14ac:dyDescent="0.35">
      <c r="A93" s="16"/>
      <c r="B93" s="24" t="s">
        <v>3</v>
      </c>
      <c r="C93" s="21" t="s">
        <v>159</v>
      </c>
      <c r="D93" s="21" t="s">
        <v>170</v>
      </c>
      <c r="E93" s="24" t="s">
        <v>171</v>
      </c>
      <c r="F93" s="17">
        <f t="shared" si="6"/>
        <v>156.33000000000001</v>
      </c>
      <c r="G93" s="13">
        <v>937.98</v>
      </c>
      <c r="H93" s="18">
        <v>0.86250000000000004</v>
      </c>
      <c r="I93" s="17">
        <f t="shared" si="7"/>
        <v>21.495374999999985</v>
      </c>
      <c r="J93" s="17">
        <f t="shared" si="5"/>
        <v>128.97224999999992</v>
      </c>
    </row>
    <row r="94" spans="1:10" x14ac:dyDescent="0.35">
      <c r="A94" s="8"/>
      <c r="B94" s="24" t="s">
        <v>5</v>
      </c>
      <c r="C94" s="21" t="s">
        <v>159</v>
      </c>
      <c r="D94" s="21" t="s">
        <v>44</v>
      </c>
      <c r="E94" s="24" t="s">
        <v>11</v>
      </c>
      <c r="F94" s="13">
        <f t="shared" si="6"/>
        <v>0.02</v>
      </c>
      <c r="G94" s="13">
        <v>0.12</v>
      </c>
      <c r="H94" s="14">
        <v>0.86250000000000004</v>
      </c>
      <c r="I94" s="13">
        <f t="shared" si="7"/>
        <v>2.7500000000000003E-3</v>
      </c>
      <c r="J94" s="13">
        <f t="shared" si="5"/>
        <v>1.6500000000000001E-2</v>
      </c>
    </row>
    <row r="95" spans="1:10" x14ac:dyDescent="0.35">
      <c r="A95" s="8"/>
      <c r="B95" s="24" t="s">
        <v>5</v>
      </c>
      <c r="C95" s="21" t="s">
        <v>159</v>
      </c>
      <c r="D95" s="21" t="s">
        <v>22</v>
      </c>
      <c r="E95" s="24" t="s">
        <v>23</v>
      </c>
      <c r="F95" s="13">
        <f t="shared" si="6"/>
        <v>1845.54</v>
      </c>
      <c r="G95" s="13">
        <v>11073.24</v>
      </c>
      <c r="H95" s="14">
        <v>0.86250000000000004</v>
      </c>
      <c r="I95" s="13">
        <f t="shared" si="7"/>
        <v>253.76174999999998</v>
      </c>
      <c r="J95" s="13">
        <f t="shared" si="5"/>
        <v>1522.5704999999998</v>
      </c>
    </row>
    <row r="96" spans="1:10" x14ac:dyDescent="0.35">
      <c r="A96" s="8"/>
      <c r="B96" s="24" t="s">
        <v>5</v>
      </c>
      <c r="C96" s="21" t="s">
        <v>159</v>
      </c>
      <c r="D96" s="21" t="s">
        <v>24</v>
      </c>
      <c r="E96" s="24" t="s">
        <v>25</v>
      </c>
      <c r="F96" s="13">
        <f t="shared" si="6"/>
        <v>2372.79</v>
      </c>
      <c r="G96" s="13">
        <v>14236.74</v>
      </c>
      <c r="H96" s="14">
        <v>0.86250000000000004</v>
      </c>
      <c r="I96" s="13">
        <f t="shared" si="7"/>
        <v>326.25862499999977</v>
      </c>
      <c r="J96" s="13">
        <f t="shared" si="5"/>
        <v>1957.5517499999987</v>
      </c>
    </row>
    <row r="97" spans="1:11" x14ac:dyDescent="0.35">
      <c r="A97" s="16"/>
      <c r="B97" s="24" t="s">
        <v>3</v>
      </c>
      <c r="C97" s="21" t="s">
        <v>159</v>
      </c>
      <c r="D97" s="21" t="s">
        <v>20</v>
      </c>
      <c r="E97" s="24" t="s">
        <v>21</v>
      </c>
      <c r="F97" s="17">
        <f t="shared" si="6"/>
        <v>0</v>
      </c>
      <c r="G97" s="13">
        <v>0</v>
      </c>
      <c r="H97" s="18">
        <v>0.86250000000000004</v>
      </c>
      <c r="I97" s="17">
        <f t="shared" si="7"/>
        <v>0</v>
      </c>
      <c r="J97" s="17">
        <f t="shared" si="5"/>
        <v>0</v>
      </c>
    </row>
    <row r="98" spans="1:11" x14ac:dyDescent="0.35">
      <c r="A98" s="8"/>
      <c r="B98" s="24" t="s">
        <v>4</v>
      </c>
      <c r="C98" s="21" t="s">
        <v>251</v>
      </c>
      <c r="D98" s="21" t="s">
        <v>172</v>
      </c>
      <c r="E98" s="24" t="s">
        <v>173</v>
      </c>
      <c r="F98" s="13">
        <f t="shared" si="6"/>
        <v>0.01</v>
      </c>
      <c r="G98" s="13">
        <v>0.24</v>
      </c>
      <c r="H98" s="14">
        <v>0.86250000000000004</v>
      </c>
      <c r="I98" s="13">
        <f t="shared" si="7"/>
        <v>1.3750000000000001E-3</v>
      </c>
      <c r="J98" s="13">
        <f t="shared" si="5"/>
        <v>3.3000000000000002E-2</v>
      </c>
    </row>
    <row r="99" spans="1:11" x14ac:dyDescent="0.35">
      <c r="A99" s="8"/>
      <c r="B99" s="24" t="s">
        <v>3</v>
      </c>
      <c r="C99" s="21" t="s">
        <v>251</v>
      </c>
      <c r="D99" s="21" t="s">
        <v>20</v>
      </c>
      <c r="E99" s="24" t="s">
        <v>21</v>
      </c>
      <c r="F99" s="13">
        <f t="shared" si="6"/>
        <v>0</v>
      </c>
      <c r="G99" s="13">
        <v>0</v>
      </c>
      <c r="H99" s="14">
        <v>0.86250000000000004</v>
      </c>
      <c r="I99" s="13">
        <f t="shared" si="7"/>
        <v>0</v>
      </c>
      <c r="J99" s="13">
        <f t="shared" si="5"/>
        <v>0</v>
      </c>
    </row>
    <row r="100" spans="1:11" x14ac:dyDescent="0.35">
      <c r="A100" s="8"/>
      <c r="B100" s="24" t="s">
        <v>3</v>
      </c>
      <c r="C100" s="21" t="s">
        <v>251</v>
      </c>
      <c r="D100" s="21" t="s">
        <v>20</v>
      </c>
      <c r="E100" s="24" t="s">
        <v>21</v>
      </c>
      <c r="F100" s="13">
        <f t="shared" si="6"/>
        <v>0</v>
      </c>
      <c r="G100" s="13">
        <v>0</v>
      </c>
      <c r="H100" s="14">
        <v>0.86250000000000004</v>
      </c>
      <c r="I100" s="13">
        <f t="shared" si="7"/>
        <v>0</v>
      </c>
      <c r="J100" s="13">
        <f t="shared" si="5"/>
        <v>0</v>
      </c>
    </row>
    <row r="101" spans="1:11" x14ac:dyDescent="0.35">
      <c r="A101" s="8"/>
      <c r="B101" s="24" t="s">
        <v>4</v>
      </c>
      <c r="C101" s="21" t="s">
        <v>251</v>
      </c>
      <c r="D101" s="21" t="s">
        <v>174</v>
      </c>
      <c r="E101" s="24" t="s">
        <v>175</v>
      </c>
      <c r="F101" s="13">
        <f t="shared" si="6"/>
        <v>0</v>
      </c>
      <c r="G101" s="13">
        <v>0</v>
      </c>
      <c r="H101" s="14">
        <v>0.86250000000000004</v>
      </c>
      <c r="I101" s="13">
        <f t="shared" si="7"/>
        <v>0</v>
      </c>
      <c r="J101" s="13">
        <f t="shared" si="5"/>
        <v>0</v>
      </c>
    </row>
    <row r="102" spans="1:11" x14ac:dyDescent="0.35">
      <c r="A102" s="8"/>
      <c r="B102" s="24" t="s">
        <v>4</v>
      </c>
      <c r="C102" s="21" t="s">
        <v>251</v>
      </c>
      <c r="D102" s="21" t="s">
        <v>176</v>
      </c>
      <c r="E102" s="24" t="s">
        <v>177</v>
      </c>
      <c r="F102" s="13">
        <f t="shared" si="6"/>
        <v>0</v>
      </c>
      <c r="G102" s="13">
        <v>0</v>
      </c>
      <c r="H102" s="14">
        <v>0.86250000000000004</v>
      </c>
      <c r="I102" s="13">
        <f t="shared" si="7"/>
        <v>0</v>
      </c>
      <c r="J102" s="13">
        <f t="shared" si="5"/>
        <v>0</v>
      </c>
    </row>
    <row r="103" spans="1:11" x14ac:dyDescent="0.35">
      <c r="A103" s="8"/>
      <c r="B103" s="24" t="s">
        <v>4</v>
      </c>
      <c r="C103" s="21" t="s">
        <v>251</v>
      </c>
      <c r="D103" s="21" t="s">
        <v>178</v>
      </c>
      <c r="E103" s="24" t="s">
        <v>179</v>
      </c>
      <c r="F103" s="13">
        <f t="shared" si="6"/>
        <v>0</v>
      </c>
      <c r="G103" s="13">
        <v>0</v>
      </c>
      <c r="H103" s="14">
        <v>0.86250000000000004</v>
      </c>
      <c r="I103" s="13">
        <f t="shared" si="7"/>
        <v>0</v>
      </c>
      <c r="J103" s="13">
        <f t="shared" si="5"/>
        <v>0</v>
      </c>
    </row>
    <row r="104" spans="1:11" x14ac:dyDescent="0.35">
      <c r="A104" s="8"/>
      <c r="B104" s="24" t="s">
        <v>4</v>
      </c>
      <c r="C104" s="21" t="s">
        <v>251</v>
      </c>
      <c r="D104" s="21" t="s">
        <v>180</v>
      </c>
      <c r="E104" s="24" t="s">
        <v>181</v>
      </c>
      <c r="F104" s="13">
        <f t="shared" si="6"/>
        <v>0</v>
      </c>
      <c r="G104" s="13">
        <v>0</v>
      </c>
      <c r="H104" s="14">
        <v>0.86250000000000004</v>
      </c>
      <c r="I104" s="13">
        <f t="shared" si="7"/>
        <v>0</v>
      </c>
      <c r="J104" s="13">
        <f t="shared" si="5"/>
        <v>0</v>
      </c>
    </row>
    <row r="105" spans="1:11" x14ac:dyDescent="0.35">
      <c r="A105" s="8"/>
      <c r="B105" s="24" t="s">
        <v>4</v>
      </c>
      <c r="C105" s="21" t="s">
        <v>251</v>
      </c>
      <c r="D105" s="21" t="s">
        <v>182</v>
      </c>
      <c r="E105" s="24" t="s">
        <v>183</v>
      </c>
      <c r="F105" s="13">
        <f t="shared" si="6"/>
        <v>4434.78</v>
      </c>
      <c r="G105" s="13">
        <v>106434.72</v>
      </c>
      <c r="H105" s="14">
        <v>0.86250000000000004</v>
      </c>
      <c r="I105" s="13">
        <f t="shared" si="7"/>
        <v>609.78224999999964</v>
      </c>
      <c r="J105" s="13">
        <f t="shared" si="5"/>
        <v>14634.77399999999</v>
      </c>
    </row>
    <row r="106" spans="1:11" x14ac:dyDescent="0.35">
      <c r="A106" s="8"/>
      <c r="B106" s="24" t="s">
        <v>4</v>
      </c>
      <c r="C106" s="21" t="s">
        <v>256</v>
      </c>
      <c r="D106" s="21" t="s">
        <v>184</v>
      </c>
      <c r="E106" s="24" t="s">
        <v>185</v>
      </c>
      <c r="F106" s="13">
        <f t="shared" si="6"/>
        <v>0</v>
      </c>
      <c r="G106" s="13">
        <v>0</v>
      </c>
      <c r="H106" s="14">
        <v>0.86250000000000004</v>
      </c>
      <c r="I106" s="13">
        <f t="shared" si="7"/>
        <v>0</v>
      </c>
      <c r="J106" s="13">
        <f t="shared" si="5"/>
        <v>0</v>
      </c>
    </row>
    <row r="107" spans="1:11" x14ac:dyDescent="0.35">
      <c r="A107" s="8"/>
      <c r="B107" s="24" t="s">
        <v>4</v>
      </c>
      <c r="C107" s="21" t="s">
        <v>256</v>
      </c>
      <c r="D107" s="21" t="s">
        <v>186</v>
      </c>
      <c r="E107" s="24" t="s">
        <v>187</v>
      </c>
      <c r="F107" s="13">
        <f t="shared" si="6"/>
        <v>0</v>
      </c>
      <c r="G107" s="13">
        <v>0</v>
      </c>
      <c r="H107" s="14">
        <v>0.86250000000000004</v>
      </c>
      <c r="I107" s="13">
        <f t="shared" si="7"/>
        <v>0</v>
      </c>
      <c r="J107" s="13">
        <f t="shared" si="5"/>
        <v>0</v>
      </c>
    </row>
    <row r="108" spans="1:11" x14ac:dyDescent="0.35">
      <c r="A108" s="8"/>
      <c r="B108" s="24" t="s">
        <v>4</v>
      </c>
      <c r="C108" s="21" t="s">
        <v>256</v>
      </c>
      <c r="D108" s="21" t="s">
        <v>188</v>
      </c>
      <c r="E108" s="24" t="s">
        <v>189</v>
      </c>
      <c r="F108" s="13">
        <f t="shared" si="6"/>
        <v>93.28</v>
      </c>
      <c r="G108" s="13">
        <v>895488</v>
      </c>
      <c r="H108" s="14">
        <v>0.86250000000000004</v>
      </c>
      <c r="I108" s="13">
        <f t="shared" si="7"/>
        <v>12.825999999999997</v>
      </c>
      <c r="J108" s="13">
        <f t="shared" si="5"/>
        <v>123129.59999999998</v>
      </c>
    </row>
    <row r="109" spans="1:11" x14ac:dyDescent="0.35">
      <c r="A109" s="16"/>
      <c r="B109" s="24" t="s">
        <v>4</v>
      </c>
      <c r="C109" s="21" t="s">
        <v>256</v>
      </c>
      <c r="D109" s="21" t="s">
        <v>190</v>
      </c>
      <c r="E109" s="24" t="s">
        <v>191</v>
      </c>
      <c r="F109" s="17">
        <f t="shared" si="6"/>
        <v>0</v>
      </c>
      <c r="G109" s="13">
        <v>0</v>
      </c>
      <c r="H109" s="18">
        <v>0.86250000000000004</v>
      </c>
      <c r="I109" s="17">
        <f t="shared" si="7"/>
        <v>0</v>
      </c>
      <c r="J109" s="17">
        <f t="shared" si="5"/>
        <v>0</v>
      </c>
      <c r="K109" s="19"/>
    </row>
    <row r="110" spans="1:11" x14ac:dyDescent="0.35">
      <c r="A110" s="8"/>
      <c r="B110" s="24" t="s">
        <v>4</v>
      </c>
      <c r="C110" s="21" t="s">
        <v>256</v>
      </c>
      <c r="D110" s="21" t="s">
        <v>192</v>
      </c>
      <c r="E110" s="24" t="s">
        <v>193</v>
      </c>
      <c r="F110" s="13">
        <f t="shared" si="6"/>
        <v>0</v>
      </c>
      <c r="G110" s="13">
        <v>0</v>
      </c>
      <c r="H110" s="14">
        <v>0.86250000000000004</v>
      </c>
      <c r="I110" s="13">
        <f t="shared" si="7"/>
        <v>0</v>
      </c>
      <c r="J110" s="13">
        <f t="shared" si="5"/>
        <v>0</v>
      </c>
    </row>
    <row r="111" spans="1:11" x14ac:dyDescent="0.35">
      <c r="A111" s="8"/>
      <c r="B111" s="24" t="s">
        <v>4</v>
      </c>
      <c r="C111" s="21" t="s">
        <v>251</v>
      </c>
      <c r="D111" s="21" t="s">
        <v>194</v>
      </c>
      <c r="E111" s="24" t="s">
        <v>195</v>
      </c>
      <c r="F111" s="13">
        <f t="shared" si="6"/>
        <v>0</v>
      </c>
      <c r="G111" s="13">
        <v>0</v>
      </c>
      <c r="H111" s="14">
        <v>0.86250000000000004</v>
      </c>
      <c r="I111" s="13">
        <f t="shared" si="7"/>
        <v>0</v>
      </c>
      <c r="J111" s="13">
        <f t="shared" si="5"/>
        <v>0</v>
      </c>
    </row>
    <row r="112" spans="1:11" x14ac:dyDescent="0.35">
      <c r="A112" s="8"/>
      <c r="B112" s="24" t="s">
        <v>4</v>
      </c>
      <c r="C112" s="21" t="s">
        <v>256</v>
      </c>
      <c r="D112" s="21" t="s">
        <v>196</v>
      </c>
      <c r="E112" s="24" t="s">
        <v>197</v>
      </c>
      <c r="F112" s="13">
        <f t="shared" si="6"/>
        <v>0</v>
      </c>
      <c r="G112" s="13">
        <v>0</v>
      </c>
      <c r="H112" s="14">
        <v>0.86250000000000004</v>
      </c>
      <c r="I112" s="13">
        <f t="shared" si="7"/>
        <v>0</v>
      </c>
      <c r="J112" s="13">
        <f t="shared" si="5"/>
        <v>0</v>
      </c>
    </row>
    <row r="113" spans="1:10" x14ac:dyDescent="0.35">
      <c r="A113" s="8"/>
      <c r="B113" s="24" t="s">
        <v>4</v>
      </c>
      <c r="C113" s="21" t="s">
        <v>251</v>
      </c>
      <c r="D113" s="21" t="s">
        <v>27</v>
      </c>
      <c r="E113" s="24" t="s">
        <v>28</v>
      </c>
      <c r="F113" s="13">
        <f t="shared" si="6"/>
        <v>0</v>
      </c>
      <c r="G113" s="13">
        <v>0</v>
      </c>
      <c r="H113" s="14">
        <v>0.86250000000000004</v>
      </c>
      <c r="I113" s="13">
        <f t="shared" si="7"/>
        <v>0</v>
      </c>
      <c r="J113" s="13">
        <f t="shared" si="5"/>
        <v>0</v>
      </c>
    </row>
    <row r="114" spans="1:10" x14ac:dyDescent="0.35">
      <c r="A114" s="8"/>
      <c r="B114" s="24" t="s">
        <v>3</v>
      </c>
      <c r="C114" s="21" t="s">
        <v>251</v>
      </c>
      <c r="D114" s="21" t="s">
        <v>20</v>
      </c>
      <c r="E114" s="24" t="s">
        <v>21</v>
      </c>
      <c r="F114" s="13">
        <f t="shared" si="6"/>
        <v>0</v>
      </c>
      <c r="G114" s="13">
        <v>0</v>
      </c>
      <c r="H114" s="14">
        <v>0.86250000000000004</v>
      </c>
      <c r="I114" s="13">
        <f t="shared" si="7"/>
        <v>0</v>
      </c>
      <c r="J114" s="13">
        <f t="shared" si="5"/>
        <v>0</v>
      </c>
    </row>
    <row r="115" spans="1:10" x14ac:dyDescent="0.35">
      <c r="A115" s="16"/>
      <c r="B115" s="24" t="s">
        <v>6</v>
      </c>
      <c r="C115" s="21" t="s">
        <v>251</v>
      </c>
      <c r="D115" s="21" t="s">
        <v>29</v>
      </c>
      <c r="E115" s="24" t="s">
        <v>30</v>
      </c>
      <c r="F115" s="17">
        <f t="shared" si="6"/>
        <v>41747.620000000003</v>
      </c>
      <c r="G115" s="13">
        <v>1001942.88</v>
      </c>
      <c r="H115" s="18">
        <v>0.86250000000000004</v>
      </c>
      <c r="I115" s="17">
        <f t="shared" si="7"/>
        <v>5740.2977499999979</v>
      </c>
      <c r="J115" s="17">
        <f t="shared" si="5"/>
        <v>137767.14599999995</v>
      </c>
    </row>
    <row r="116" spans="1:10" x14ac:dyDescent="0.35">
      <c r="A116" s="8"/>
      <c r="B116" s="24" t="s">
        <v>3</v>
      </c>
      <c r="C116" s="21" t="s">
        <v>251</v>
      </c>
      <c r="D116" s="21" t="s">
        <v>20</v>
      </c>
      <c r="E116" s="24" t="s">
        <v>21</v>
      </c>
      <c r="F116" s="13">
        <f t="shared" si="6"/>
        <v>0</v>
      </c>
      <c r="G116" s="13">
        <v>0</v>
      </c>
      <c r="H116" s="14">
        <v>0.86250000000000004</v>
      </c>
      <c r="I116" s="13">
        <f t="shared" si="7"/>
        <v>0</v>
      </c>
      <c r="J116" s="13">
        <f t="shared" si="5"/>
        <v>0</v>
      </c>
    </row>
    <row r="117" spans="1:10" x14ac:dyDescent="0.35">
      <c r="A117" s="8"/>
      <c r="B117" s="24" t="s">
        <v>4</v>
      </c>
      <c r="C117" s="21" t="s">
        <v>251</v>
      </c>
      <c r="D117" s="21" t="s">
        <v>172</v>
      </c>
      <c r="E117" s="24" t="s">
        <v>173</v>
      </c>
      <c r="F117" s="13">
        <f t="shared" si="6"/>
        <v>0.01</v>
      </c>
      <c r="G117" s="13">
        <v>0.24</v>
      </c>
      <c r="H117" s="14">
        <v>0.86250000000000004</v>
      </c>
      <c r="I117" s="13">
        <f t="shared" si="7"/>
        <v>1.3750000000000001E-3</v>
      </c>
      <c r="J117" s="13">
        <f t="shared" si="5"/>
        <v>3.3000000000000002E-2</v>
      </c>
    </row>
    <row r="118" spans="1:10" x14ac:dyDescent="0.35">
      <c r="A118" s="8"/>
      <c r="B118" s="24" t="s">
        <v>3</v>
      </c>
      <c r="C118" s="21" t="s">
        <v>251</v>
      </c>
      <c r="D118" s="21" t="s">
        <v>20</v>
      </c>
      <c r="E118" s="24" t="s">
        <v>21</v>
      </c>
      <c r="F118" s="13">
        <f t="shared" si="6"/>
        <v>0</v>
      </c>
      <c r="G118" s="13">
        <v>0</v>
      </c>
      <c r="H118" s="14">
        <v>0.86250000000000004</v>
      </c>
      <c r="I118" s="13">
        <f t="shared" si="7"/>
        <v>0</v>
      </c>
      <c r="J118" s="13">
        <f t="shared" si="5"/>
        <v>0</v>
      </c>
    </row>
    <row r="119" spans="1:10" x14ac:dyDescent="0.35">
      <c r="A119" s="8"/>
      <c r="B119" s="24" t="s">
        <v>3</v>
      </c>
      <c r="C119" s="21" t="s">
        <v>251</v>
      </c>
      <c r="D119" s="21" t="s">
        <v>20</v>
      </c>
      <c r="E119" s="24" t="s">
        <v>21</v>
      </c>
      <c r="F119" s="13">
        <f t="shared" si="6"/>
        <v>0</v>
      </c>
      <c r="G119" s="13">
        <v>0</v>
      </c>
      <c r="H119" s="14">
        <v>0.86250000000000004</v>
      </c>
      <c r="I119" s="13">
        <f t="shared" si="7"/>
        <v>0</v>
      </c>
      <c r="J119" s="13">
        <f t="shared" si="5"/>
        <v>0</v>
      </c>
    </row>
    <row r="120" spans="1:10" x14ac:dyDescent="0.35">
      <c r="A120" s="8"/>
      <c r="B120" s="24" t="s">
        <v>4</v>
      </c>
      <c r="C120" s="21" t="s">
        <v>251</v>
      </c>
      <c r="D120" s="21" t="s">
        <v>257</v>
      </c>
      <c r="E120" s="24" t="s">
        <v>258</v>
      </c>
      <c r="F120" s="13">
        <f t="shared" si="6"/>
        <v>13263.089999999998</v>
      </c>
      <c r="G120" s="13">
        <v>318314.15999999997</v>
      </c>
      <c r="H120" s="14">
        <v>0.86250000000000004</v>
      </c>
      <c r="I120" s="13">
        <f t="shared" si="7"/>
        <v>1823.6748749999995</v>
      </c>
      <c r="J120" s="13">
        <f t="shared" si="5"/>
        <v>43768.196999999986</v>
      </c>
    </row>
    <row r="121" spans="1:10" x14ac:dyDescent="0.35">
      <c r="A121" s="8"/>
      <c r="B121" s="24" t="s">
        <v>3</v>
      </c>
      <c r="C121" s="21" t="s">
        <v>251</v>
      </c>
      <c r="D121" s="21" t="s">
        <v>20</v>
      </c>
      <c r="E121" s="24" t="s">
        <v>21</v>
      </c>
      <c r="F121" s="13">
        <f t="shared" si="6"/>
        <v>0</v>
      </c>
      <c r="G121" s="13">
        <v>0</v>
      </c>
      <c r="H121" s="14">
        <v>0.86250000000000004</v>
      </c>
      <c r="I121" s="13">
        <f t="shared" si="7"/>
        <v>0</v>
      </c>
      <c r="J121" s="13">
        <f t="shared" si="5"/>
        <v>0</v>
      </c>
    </row>
    <row r="122" spans="1:10" x14ac:dyDescent="0.35">
      <c r="A122" s="8"/>
      <c r="B122" s="24" t="s">
        <v>4</v>
      </c>
      <c r="C122" s="21" t="s">
        <v>256</v>
      </c>
      <c r="D122" s="21" t="s">
        <v>198</v>
      </c>
      <c r="E122" s="24" t="s">
        <v>259</v>
      </c>
      <c r="F122" s="13">
        <f t="shared" si="6"/>
        <v>162.38999999999999</v>
      </c>
      <c r="G122" s="13">
        <v>1558944</v>
      </c>
      <c r="H122" s="14">
        <v>0.86250000000000004</v>
      </c>
      <c r="I122" s="13">
        <f t="shared" si="7"/>
        <v>22.328625000000006</v>
      </c>
      <c r="J122" s="13">
        <f t="shared" si="5"/>
        <v>214354.80000000005</v>
      </c>
    </row>
    <row r="123" spans="1:10" x14ac:dyDescent="0.35">
      <c r="A123" s="8"/>
      <c r="B123" s="24" t="s">
        <v>3</v>
      </c>
      <c r="C123" s="21" t="s">
        <v>251</v>
      </c>
      <c r="D123" s="21" t="s">
        <v>20</v>
      </c>
      <c r="E123" s="24" t="s">
        <v>21</v>
      </c>
      <c r="F123" s="13">
        <f t="shared" si="6"/>
        <v>0</v>
      </c>
      <c r="G123" s="13">
        <v>0</v>
      </c>
      <c r="H123" s="14">
        <v>0.86250000000000004</v>
      </c>
      <c r="I123" s="13">
        <f t="shared" si="7"/>
        <v>0</v>
      </c>
      <c r="J123" s="13">
        <f t="shared" si="5"/>
        <v>0</v>
      </c>
    </row>
    <row r="124" spans="1:10" x14ac:dyDescent="0.35">
      <c r="A124" s="8"/>
      <c r="B124" s="24" t="s">
        <v>6</v>
      </c>
      <c r="C124" s="21" t="s">
        <v>251</v>
      </c>
      <c r="D124" s="21" t="s">
        <v>46</v>
      </c>
      <c r="E124" s="24" t="s">
        <v>47</v>
      </c>
      <c r="F124" s="13">
        <f t="shared" si="6"/>
        <v>46929.579999999994</v>
      </c>
      <c r="G124" s="13">
        <v>1126309.92</v>
      </c>
      <c r="H124" s="14">
        <v>0.86250000000000004</v>
      </c>
      <c r="I124" s="13">
        <f t="shared" si="7"/>
        <v>6452.8172499999973</v>
      </c>
      <c r="J124" s="13">
        <f t="shared" si="5"/>
        <v>154867.61399999994</v>
      </c>
    </row>
    <row r="125" spans="1:10" x14ac:dyDescent="0.35">
      <c r="A125" s="8"/>
      <c r="B125" s="24" t="s">
        <v>3</v>
      </c>
      <c r="C125" s="21" t="s">
        <v>251</v>
      </c>
      <c r="D125" s="21" t="s">
        <v>20</v>
      </c>
      <c r="E125" s="24" t="s">
        <v>21</v>
      </c>
      <c r="F125" s="13">
        <f t="shared" si="6"/>
        <v>0</v>
      </c>
      <c r="G125" s="13">
        <v>0</v>
      </c>
      <c r="H125" s="14">
        <v>0.86250000000000004</v>
      </c>
      <c r="I125" s="13">
        <f t="shared" si="7"/>
        <v>0</v>
      </c>
      <c r="J125" s="13">
        <f t="shared" si="5"/>
        <v>0</v>
      </c>
    </row>
    <row r="126" spans="1:10" x14ac:dyDescent="0.35">
      <c r="A126" s="8"/>
      <c r="B126" s="24" t="s">
        <v>3</v>
      </c>
      <c r="C126" s="21" t="s">
        <v>18</v>
      </c>
      <c r="D126" s="21" t="s">
        <v>48</v>
      </c>
      <c r="E126" s="24" t="s">
        <v>49</v>
      </c>
      <c r="F126" s="13">
        <f t="shared" si="6"/>
        <v>0</v>
      </c>
      <c r="G126" s="13">
        <v>0</v>
      </c>
      <c r="H126" s="14">
        <v>0.86250000000000004</v>
      </c>
      <c r="I126" s="13">
        <f t="shared" si="7"/>
        <v>0</v>
      </c>
      <c r="J126" s="13">
        <f t="shared" si="5"/>
        <v>0</v>
      </c>
    </row>
    <row r="127" spans="1:10" x14ac:dyDescent="0.35">
      <c r="A127" s="8"/>
      <c r="B127" s="24" t="s">
        <v>3</v>
      </c>
      <c r="C127" s="21" t="s">
        <v>18</v>
      </c>
      <c r="D127" s="21" t="s">
        <v>20</v>
      </c>
      <c r="E127" s="24" t="s">
        <v>21</v>
      </c>
      <c r="F127" s="13">
        <f t="shared" si="6"/>
        <v>0</v>
      </c>
      <c r="G127" s="13">
        <v>0</v>
      </c>
      <c r="H127" s="14">
        <v>0.86250000000000004</v>
      </c>
      <c r="I127" s="13">
        <f t="shared" si="7"/>
        <v>0</v>
      </c>
      <c r="J127" s="13">
        <f t="shared" si="5"/>
        <v>0</v>
      </c>
    </row>
    <row r="128" spans="1:10" x14ac:dyDescent="0.35">
      <c r="A128" s="8"/>
      <c r="B128" s="24" t="s">
        <v>3</v>
      </c>
      <c r="C128" s="21" t="s">
        <v>18</v>
      </c>
      <c r="D128" s="21" t="s">
        <v>20</v>
      </c>
      <c r="E128" s="24" t="s">
        <v>21</v>
      </c>
      <c r="F128" s="13">
        <f t="shared" si="6"/>
        <v>0</v>
      </c>
      <c r="G128" s="13">
        <v>0</v>
      </c>
      <c r="H128" s="14">
        <v>0.86250000000000004</v>
      </c>
      <c r="I128" s="13">
        <f t="shared" si="7"/>
        <v>0</v>
      </c>
      <c r="J128" s="13">
        <f t="shared" si="5"/>
        <v>0</v>
      </c>
    </row>
    <row r="129" spans="1:10" x14ac:dyDescent="0.35">
      <c r="A129" s="8"/>
      <c r="B129" s="24" t="s">
        <v>3</v>
      </c>
      <c r="C129" s="21" t="s">
        <v>260</v>
      </c>
      <c r="D129" s="21" t="s">
        <v>50</v>
      </c>
      <c r="E129" s="24" t="s">
        <v>51</v>
      </c>
      <c r="F129" s="13">
        <f t="shared" si="6"/>
        <v>109</v>
      </c>
      <c r="G129" s="13">
        <v>1308</v>
      </c>
      <c r="H129" s="14">
        <v>0.86250000000000004</v>
      </c>
      <c r="I129" s="13">
        <f t="shared" si="7"/>
        <v>14.987499999999992</v>
      </c>
      <c r="J129" s="13">
        <f t="shared" ref="J129:J159" si="8">G129-G129*H129</f>
        <v>179.84999999999991</v>
      </c>
    </row>
    <row r="130" spans="1:10" x14ac:dyDescent="0.35">
      <c r="A130" s="8"/>
      <c r="B130" s="24" t="s">
        <v>3</v>
      </c>
      <c r="C130" s="21" t="s">
        <v>160</v>
      </c>
      <c r="D130" s="21" t="s">
        <v>52</v>
      </c>
      <c r="E130" s="24" t="s">
        <v>53</v>
      </c>
      <c r="F130" s="13">
        <f t="shared" si="6"/>
        <v>603</v>
      </c>
      <c r="G130" s="13">
        <v>9045</v>
      </c>
      <c r="H130" s="14">
        <v>0.86250000000000004</v>
      </c>
      <c r="I130" s="13">
        <f t="shared" si="7"/>
        <v>82.912499999999994</v>
      </c>
      <c r="J130" s="13">
        <f t="shared" si="8"/>
        <v>1243.6875</v>
      </c>
    </row>
    <row r="131" spans="1:10" x14ac:dyDescent="0.35">
      <c r="A131" s="8"/>
      <c r="B131" s="24" t="s">
        <v>3</v>
      </c>
      <c r="C131" s="21" t="s">
        <v>18</v>
      </c>
      <c r="D131" s="21" t="s">
        <v>54</v>
      </c>
      <c r="E131" s="24" t="s">
        <v>55</v>
      </c>
      <c r="F131" s="13">
        <f t="shared" si="6"/>
        <v>0</v>
      </c>
      <c r="G131" s="13">
        <v>0</v>
      </c>
      <c r="H131" s="14">
        <v>0.86250000000000004</v>
      </c>
      <c r="I131" s="13">
        <f t="shared" si="7"/>
        <v>0</v>
      </c>
      <c r="J131" s="13">
        <f t="shared" si="8"/>
        <v>0</v>
      </c>
    </row>
    <row r="132" spans="1:10" x14ac:dyDescent="0.35">
      <c r="A132" s="8"/>
      <c r="B132" s="24" t="s">
        <v>5</v>
      </c>
      <c r="C132" s="21" t="s">
        <v>18</v>
      </c>
      <c r="D132" s="21" t="s">
        <v>31</v>
      </c>
      <c r="E132" s="24" t="s">
        <v>32</v>
      </c>
      <c r="F132" s="13">
        <f t="shared" si="6"/>
        <v>0</v>
      </c>
      <c r="G132" s="13">
        <v>0</v>
      </c>
      <c r="H132" s="14">
        <v>0.86250000000000004</v>
      </c>
      <c r="I132" s="13">
        <f t="shared" si="7"/>
        <v>0</v>
      </c>
      <c r="J132" s="13">
        <f t="shared" si="8"/>
        <v>0</v>
      </c>
    </row>
    <row r="133" spans="1:10" x14ac:dyDescent="0.35">
      <c r="A133" s="8"/>
      <c r="B133" s="24" t="s">
        <v>5</v>
      </c>
      <c r="C133" s="21" t="s">
        <v>18</v>
      </c>
      <c r="D133" s="21" t="s">
        <v>33</v>
      </c>
      <c r="E133" s="24" t="s">
        <v>32</v>
      </c>
      <c r="F133" s="13">
        <f t="shared" ref="F133:F159" si="9">G133/C133</f>
        <v>0</v>
      </c>
      <c r="G133" s="13">
        <v>0</v>
      </c>
      <c r="H133" s="14">
        <v>0.86250000000000004</v>
      </c>
      <c r="I133" s="13">
        <f t="shared" ref="I133:I159" si="10">J133/C133</f>
        <v>0</v>
      </c>
      <c r="J133" s="13">
        <f t="shared" si="8"/>
        <v>0</v>
      </c>
    </row>
    <row r="134" spans="1:10" x14ac:dyDescent="0.35">
      <c r="A134" s="6">
        <v>30</v>
      </c>
      <c r="B134" s="25"/>
      <c r="C134" s="22" t="s">
        <v>260</v>
      </c>
      <c r="D134" s="22"/>
      <c r="E134" s="25" t="s">
        <v>153</v>
      </c>
      <c r="F134" s="11">
        <f t="shared" si="9"/>
        <v>225818.00083333332</v>
      </c>
      <c r="G134" s="11">
        <f>SUM(G135:G153)</f>
        <v>2709816.01</v>
      </c>
      <c r="H134" s="12">
        <v>0.86250000000000004</v>
      </c>
      <c r="I134" s="11">
        <f t="shared" si="10"/>
        <v>31049.975114583311</v>
      </c>
      <c r="J134" s="11">
        <f t="shared" si="8"/>
        <v>372599.70137499971</v>
      </c>
    </row>
    <row r="135" spans="1:10" x14ac:dyDescent="0.35">
      <c r="A135" s="8"/>
      <c r="B135" s="24" t="s">
        <v>3</v>
      </c>
      <c r="C135" s="21" t="s">
        <v>260</v>
      </c>
      <c r="D135" s="21" t="s">
        <v>271</v>
      </c>
      <c r="E135" s="24" t="s">
        <v>272</v>
      </c>
      <c r="F135" s="13">
        <f t="shared" si="9"/>
        <v>76436</v>
      </c>
      <c r="G135" s="13">
        <v>917232</v>
      </c>
      <c r="H135" s="14">
        <v>0.86250000000000004</v>
      </c>
      <c r="I135" s="13">
        <f t="shared" si="10"/>
        <v>10509.949999999992</v>
      </c>
      <c r="J135" s="13">
        <f t="shared" si="8"/>
        <v>126119.39999999991</v>
      </c>
    </row>
    <row r="136" spans="1:10" x14ac:dyDescent="0.35">
      <c r="A136" s="8"/>
      <c r="B136" s="24" t="s">
        <v>3</v>
      </c>
      <c r="C136" s="21" t="s">
        <v>260</v>
      </c>
      <c r="D136" s="21" t="s">
        <v>273</v>
      </c>
      <c r="E136" s="24" t="s">
        <v>274</v>
      </c>
      <c r="F136" s="13">
        <f t="shared" si="9"/>
        <v>0</v>
      </c>
      <c r="G136" s="13">
        <v>0</v>
      </c>
      <c r="H136" s="14">
        <v>0.86250000000000004</v>
      </c>
      <c r="I136" s="13">
        <f t="shared" si="10"/>
        <v>0</v>
      </c>
      <c r="J136" s="13">
        <f t="shared" si="8"/>
        <v>0</v>
      </c>
    </row>
    <row r="137" spans="1:10" x14ac:dyDescent="0.35">
      <c r="A137" s="8"/>
      <c r="B137" s="24" t="s">
        <v>3</v>
      </c>
      <c r="C137" s="21" t="s">
        <v>260</v>
      </c>
      <c r="D137" s="21" t="s">
        <v>275</v>
      </c>
      <c r="E137" s="24" t="s">
        <v>276</v>
      </c>
      <c r="F137" s="13">
        <f t="shared" si="9"/>
        <v>250</v>
      </c>
      <c r="G137" s="13">
        <v>3000</v>
      </c>
      <c r="H137" s="14">
        <v>0.86250000000000004</v>
      </c>
      <c r="I137" s="13">
        <f t="shared" si="10"/>
        <v>34.375</v>
      </c>
      <c r="J137" s="13">
        <f t="shared" si="8"/>
        <v>412.5</v>
      </c>
    </row>
    <row r="138" spans="1:10" x14ac:dyDescent="0.35">
      <c r="A138" s="8"/>
      <c r="B138" s="24" t="s">
        <v>4</v>
      </c>
      <c r="C138" s="21" t="s">
        <v>260</v>
      </c>
      <c r="D138" s="21" t="s">
        <v>277</v>
      </c>
      <c r="E138" s="24" t="s">
        <v>278</v>
      </c>
      <c r="F138" s="13">
        <f t="shared" si="9"/>
        <v>9599</v>
      </c>
      <c r="G138" s="13">
        <v>115188</v>
      </c>
      <c r="H138" s="14">
        <v>0.86250000000000004</v>
      </c>
      <c r="I138" s="13">
        <f t="shared" si="10"/>
        <v>1319.8624999999993</v>
      </c>
      <c r="J138" s="13">
        <f t="shared" si="8"/>
        <v>15838.349999999991</v>
      </c>
    </row>
    <row r="139" spans="1:10" x14ac:dyDescent="0.35">
      <c r="A139" s="8"/>
      <c r="B139" s="24" t="s">
        <v>5</v>
      </c>
      <c r="C139" s="21" t="s">
        <v>260</v>
      </c>
      <c r="D139" s="21" t="s">
        <v>56</v>
      </c>
      <c r="E139" s="24" t="s">
        <v>11</v>
      </c>
      <c r="F139" s="13">
        <f t="shared" si="9"/>
        <v>415.08</v>
      </c>
      <c r="G139" s="13">
        <v>4980.96</v>
      </c>
      <c r="H139" s="14">
        <v>0.86250000000000004</v>
      </c>
      <c r="I139" s="13">
        <f t="shared" si="10"/>
        <v>57.073499999999967</v>
      </c>
      <c r="J139" s="13">
        <f t="shared" si="8"/>
        <v>684.88199999999961</v>
      </c>
    </row>
    <row r="140" spans="1:10" x14ac:dyDescent="0.35">
      <c r="A140" s="8"/>
      <c r="B140" s="24" t="s">
        <v>5</v>
      </c>
      <c r="C140" s="21" t="s">
        <v>260</v>
      </c>
      <c r="D140" s="21" t="s">
        <v>22</v>
      </c>
      <c r="E140" s="24" t="s">
        <v>23</v>
      </c>
      <c r="F140" s="13">
        <f t="shared" si="9"/>
        <v>20806.689999999999</v>
      </c>
      <c r="G140" s="13">
        <v>249680.28</v>
      </c>
      <c r="H140" s="14">
        <v>0.86250000000000004</v>
      </c>
      <c r="I140" s="13">
        <f t="shared" si="10"/>
        <v>2860.9198749999996</v>
      </c>
      <c r="J140" s="13">
        <f t="shared" si="8"/>
        <v>34331.038499999995</v>
      </c>
    </row>
    <row r="141" spans="1:10" x14ac:dyDescent="0.35">
      <c r="A141" s="8"/>
      <c r="B141" s="24" t="s">
        <v>5</v>
      </c>
      <c r="C141" s="21" t="s">
        <v>260</v>
      </c>
      <c r="D141" s="21" t="s">
        <v>24</v>
      </c>
      <c r="E141" s="24" t="s">
        <v>25</v>
      </c>
      <c r="F141" s="13">
        <f t="shared" si="9"/>
        <v>26008.36</v>
      </c>
      <c r="G141" s="13">
        <v>312100.32</v>
      </c>
      <c r="H141" s="14">
        <v>0.86250000000000004</v>
      </c>
      <c r="I141" s="13">
        <f t="shared" si="10"/>
        <v>3576.1494999999995</v>
      </c>
      <c r="J141" s="13">
        <f t="shared" si="8"/>
        <v>42913.793999999994</v>
      </c>
    </row>
    <row r="142" spans="1:10" x14ac:dyDescent="0.35">
      <c r="A142" s="8"/>
      <c r="B142" s="24" t="s">
        <v>5</v>
      </c>
      <c r="C142" s="21" t="s">
        <v>260</v>
      </c>
      <c r="D142" s="21" t="s">
        <v>26</v>
      </c>
      <c r="E142" s="24" t="s">
        <v>12</v>
      </c>
      <c r="F142" s="13">
        <f t="shared" si="9"/>
        <v>16032.58</v>
      </c>
      <c r="G142" s="13">
        <v>192390.96</v>
      </c>
      <c r="H142" s="14">
        <v>0.86250000000000004</v>
      </c>
      <c r="I142" s="13">
        <f t="shared" si="10"/>
        <v>2204.4797499999986</v>
      </c>
      <c r="J142" s="13">
        <f t="shared" si="8"/>
        <v>26453.756999999983</v>
      </c>
    </row>
    <row r="143" spans="1:10" x14ac:dyDescent="0.35">
      <c r="A143" s="8"/>
      <c r="B143" s="24" t="s">
        <v>5</v>
      </c>
      <c r="C143" s="21" t="s">
        <v>260</v>
      </c>
      <c r="D143" s="21" t="s">
        <v>114</v>
      </c>
      <c r="E143" s="24" t="s">
        <v>13</v>
      </c>
      <c r="F143" s="13">
        <f t="shared" si="9"/>
        <v>5415.29</v>
      </c>
      <c r="G143" s="13">
        <v>64983.48</v>
      </c>
      <c r="H143" s="14">
        <v>0.86250000000000004</v>
      </c>
      <c r="I143" s="13">
        <f t="shared" si="10"/>
        <v>744.60237499999982</v>
      </c>
      <c r="J143" s="13">
        <f t="shared" si="8"/>
        <v>8935.2284999999974</v>
      </c>
    </row>
    <row r="144" spans="1:10" x14ac:dyDescent="0.35">
      <c r="A144" s="8"/>
      <c r="B144" s="24" t="s">
        <v>3</v>
      </c>
      <c r="C144" s="21" t="s">
        <v>260</v>
      </c>
      <c r="D144" s="21" t="s">
        <v>20</v>
      </c>
      <c r="E144" s="24" t="s">
        <v>21</v>
      </c>
      <c r="F144" s="13">
        <f t="shared" si="9"/>
        <v>0</v>
      </c>
      <c r="G144" s="13">
        <v>0</v>
      </c>
      <c r="H144" s="14">
        <v>0.86250000000000004</v>
      </c>
      <c r="I144" s="13">
        <f t="shared" si="10"/>
        <v>0</v>
      </c>
      <c r="J144" s="13">
        <f t="shared" si="8"/>
        <v>0</v>
      </c>
    </row>
    <row r="145" spans="1:10" x14ac:dyDescent="0.35">
      <c r="A145" s="8"/>
      <c r="B145" s="24" t="s">
        <v>3</v>
      </c>
      <c r="C145" s="21" t="s">
        <v>18</v>
      </c>
      <c r="D145" s="21" t="s">
        <v>34</v>
      </c>
      <c r="E145" s="24" t="s">
        <v>35</v>
      </c>
      <c r="F145" s="13">
        <f t="shared" si="9"/>
        <v>0.01</v>
      </c>
      <c r="G145" s="13">
        <v>0.01</v>
      </c>
      <c r="H145" s="14">
        <v>0.86250000000000004</v>
      </c>
      <c r="I145" s="13">
        <f t="shared" si="10"/>
        <v>1.3749999999999995E-3</v>
      </c>
      <c r="J145" s="13">
        <f t="shared" si="8"/>
        <v>1.3749999999999995E-3</v>
      </c>
    </row>
    <row r="146" spans="1:10" x14ac:dyDescent="0.35">
      <c r="A146" s="8"/>
      <c r="B146" s="24" t="s">
        <v>3</v>
      </c>
      <c r="C146" s="21" t="s">
        <v>306</v>
      </c>
      <c r="D146" s="21" t="s">
        <v>307</v>
      </c>
      <c r="E146" s="24" t="s">
        <v>308</v>
      </c>
      <c r="F146" s="13">
        <f t="shared" si="9"/>
        <v>2415</v>
      </c>
      <c r="G146" s="13">
        <v>724500</v>
      </c>
      <c r="H146" s="14">
        <v>0.86250000000000004</v>
      </c>
      <c r="I146" s="13">
        <f t="shared" si="10"/>
        <v>332.0625</v>
      </c>
      <c r="J146" s="13">
        <f t="shared" si="8"/>
        <v>99618.75</v>
      </c>
    </row>
    <row r="147" spans="1:10" x14ac:dyDescent="0.35">
      <c r="A147" s="8"/>
      <c r="B147" s="24" t="s">
        <v>3</v>
      </c>
      <c r="C147" s="21" t="s">
        <v>243</v>
      </c>
      <c r="D147" s="21" t="s">
        <v>154</v>
      </c>
      <c r="E147" s="24" t="s">
        <v>155</v>
      </c>
      <c r="F147" s="13">
        <f t="shared" si="9"/>
        <v>226</v>
      </c>
      <c r="G147" s="13">
        <v>9040</v>
      </c>
      <c r="H147" s="14">
        <v>0.86250000000000004</v>
      </c>
      <c r="I147" s="13">
        <f t="shared" si="10"/>
        <v>31.074999999999999</v>
      </c>
      <c r="J147" s="13">
        <f t="shared" si="8"/>
        <v>1243</v>
      </c>
    </row>
    <row r="148" spans="1:10" x14ac:dyDescent="0.35">
      <c r="A148" s="8"/>
      <c r="B148" s="24" t="s">
        <v>3</v>
      </c>
      <c r="C148" s="21" t="s">
        <v>265</v>
      </c>
      <c r="D148" s="21" t="s">
        <v>245</v>
      </c>
      <c r="E148" s="24" t="s">
        <v>246</v>
      </c>
      <c r="F148" s="13">
        <f t="shared" si="9"/>
        <v>261</v>
      </c>
      <c r="G148" s="13">
        <v>5220</v>
      </c>
      <c r="H148" s="14">
        <v>0.86250000000000004</v>
      </c>
      <c r="I148" s="13">
        <f t="shared" si="10"/>
        <v>35.887500000000003</v>
      </c>
      <c r="J148" s="13">
        <f t="shared" si="8"/>
        <v>717.75</v>
      </c>
    </row>
    <row r="149" spans="1:10" x14ac:dyDescent="0.35">
      <c r="A149" s="8"/>
      <c r="B149" s="24" t="s">
        <v>3</v>
      </c>
      <c r="C149" s="21" t="s">
        <v>265</v>
      </c>
      <c r="D149" s="21" t="s">
        <v>248</v>
      </c>
      <c r="E149" s="24" t="s">
        <v>249</v>
      </c>
      <c r="F149" s="13">
        <f t="shared" si="9"/>
        <v>341</v>
      </c>
      <c r="G149" s="13">
        <v>6820</v>
      </c>
      <c r="H149" s="14">
        <v>0.86250000000000004</v>
      </c>
      <c r="I149" s="13">
        <f t="shared" si="10"/>
        <v>46.887500000000003</v>
      </c>
      <c r="J149" s="13">
        <f t="shared" si="8"/>
        <v>937.75</v>
      </c>
    </row>
    <row r="150" spans="1:10" x14ac:dyDescent="0.35">
      <c r="A150" s="8"/>
      <c r="B150" s="24" t="s">
        <v>3</v>
      </c>
      <c r="C150" s="21" t="s">
        <v>243</v>
      </c>
      <c r="D150" s="21" t="s">
        <v>156</v>
      </c>
      <c r="E150" s="24" t="s">
        <v>157</v>
      </c>
      <c r="F150" s="13">
        <f t="shared" si="9"/>
        <v>1659</v>
      </c>
      <c r="G150" s="13">
        <v>66360</v>
      </c>
      <c r="H150" s="14">
        <v>0.86250000000000004</v>
      </c>
      <c r="I150" s="13">
        <f t="shared" si="10"/>
        <v>228.11250000000001</v>
      </c>
      <c r="J150" s="13">
        <f t="shared" si="8"/>
        <v>9124.5</v>
      </c>
    </row>
    <row r="151" spans="1:10" x14ac:dyDescent="0.35">
      <c r="A151" s="8"/>
      <c r="B151" s="24" t="s">
        <v>3</v>
      </c>
      <c r="C151" s="21" t="s">
        <v>265</v>
      </c>
      <c r="D151" s="21" t="s">
        <v>36</v>
      </c>
      <c r="E151" s="24" t="s">
        <v>37</v>
      </c>
      <c r="F151" s="13">
        <f t="shared" si="9"/>
        <v>1916</v>
      </c>
      <c r="G151" s="13">
        <v>38320</v>
      </c>
      <c r="H151" s="14">
        <v>0.86250000000000004</v>
      </c>
      <c r="I151" s="13">
        <f t="shared" si="10"/>
        <v>263.45</v>
      </c>
      <c r="J151" s="13">
        <f t="shared" si="8"/>
        <v>5269</v>
      </c>
    </row>
    <row r="152" spans="1:10" x14ac:dyDescent="0.35">
      <c r="A152" s="8"/>
      <c r="B152" s="24" t="s">
        <v>5</v>
      </c>
      <c r="C152" s="21" t="s">
        <v>18</v>
      </c>
      <c r="D152" s="21" t="s">
        <v>31</v>
      </c>
      <c r="E152" s="24" t="s">
        <v>32</v>
      </c>
      <c r="F152" s="13">
        <f t="shared" si="9"/>
        <v>0</v>
      </c>
      <c r="G152" s="13">
        <v>0</v>
      </c>
      <c r="H152" s="14">
        <v>0.86250000000000004</v>
      </c>
      <c r="I152" s="13">
        <f t="shared" si="10"/>
        <v>0</v>
      </c>
      <c r="J152" s="13">
        <f t="shared" si="8"/>
        <v>0</v>
      </c>
    </row>
    <row r="153" spans="1:10" x14ac:dyDescent="0.35">
      <c r="A153" s="8"/>
      <c r="B153" s="24" t="s">
        <v>5</v>
      </c>
      <c r="C153" s="21" t="s">
        <v>18</v>
      </c>
      <c r="D153" s="21" t="s">
        <v>33</v>
      </c>
      <c r="E153" s="24" t="s">
        <v>32</v>
      </c>
      <c r="F153" s="13">
        <f t="shared" si="9"/>
        <v>0</v>
      </c>
      <c r="G153" s="13">
        <v>0</v>
      </c>
      <c r="H153" s="14">
        <v>0.86250000000000004</v>
      </c>
      <c r="I153" s="13">
        <f t="shared" si="10"/>
        <v>0</v>
      </c>
      <c r="J153" s="13">
        <f t="shared" si="8"/>
        <v>0</v>
      </c>
    </row>
    <row r="154" spans="1:10" x14ac:dyDescent="0.35">
      <c r="A154" s="6">
        <v>40</v>
      </c>
      <c r="B154" s="25"/>
      <c r="C154" s="22" t="s">
        <v>264</v>
      </c>
      <c r="D154" s="22"/>
      <c r="E154" s="25" t="s">
        <v>290</v>
      </c>
      <c r="F154" s="11">
        <f t="shared" si="9"/>
        <v>25.68</v>
      </c>
      <c r="G154" s="11">
        <v>256.8</v>
      </c>
      <c r="H154" s="12">
        <v>0.86250000000000004</v>
      </c>
      <c r="I154" s="11">
        <f t="shared" si="10"/>
        <v>3.5310000000000001</v>
      </c>
      <c r="J154" s="11">
        <f t="shared" si="8"/>
        <v>35.31</v>
      </c>
    </row>
    <row r="155" spans="1:10" x14ac:dyDescent="0.35">
      <c r="A155" s="8"/>
      <c r="B155" s="24" t="s">
        <v>3</v>
      </c>
      <c r="C155" s="21" t="s">
        <v>264</v>
      </c>
      <c r="D155" s="21" t="s">
        <v>291</v>
      </c>
      <c r="E155" s="24" t="s">
        <v>290</v>
      </c>
      <c r="F155" s="13">
        <f t="shared" si="9"/>
        <v>25.68</v>
      </c>
      <c r="G155" s="13">
        <v>256.8</v>
      </c>
      <c r="H155" s="14">
        <v>0.86250000000000004</v>
      </c>
      <c r="I155" s="13">
        <f t="shared" si="10"/>
        <v>3.5310000000000001</v>
      </c>
      <c r="J155" s="13">
        <f t="shared" si="8"/>
        <v>35.31</v>
      </c>
    </row>
    <row r="156" spans="1:10" x14ac:dyDescent="0.35">
      <c r="A156" s="6">
        <v>50</v>
      </c>
      <c r="B156" s="25"/>
      <c r="C156" s="22" t="s">
        <v>309</v>
      </c>
      <c r="D156" s="22"/>
      <c r="E156" s="25" t="s">
        <v>292</v>
      </c>
      <c r="F156" s="11">
        <f t="shared" si="9"/>
        <v>31.17</v>
      </c>
      <c r="G156" s="11">
        <v>1558.5</v>
      </c>
      <c r="H156" s="12">
        <v>0.86250000000000004</v>
      </c>
      <c r="I156" s="11">
        <f t="shared" si="10"/>
        <v>4.2858749999999963</v>
      </c>
      <c r="J156" s="11">
        <f t="shared" si="8"/>
        <v>214.29374999999982</v>
      </c>
    </row>
    <row r="157" spans="1:10" x14ac:dyDescent="0.35">
      <c r="A157" s="8"/>
      <c r="B157" s="24" t="s">
        <v>3</v>
      </c>
      <c r="C157" s="21" t="s">
        <v>309</v>
      </c>
      <c r="D157" s="21" t="s">
        <v>293</v>
      </c>
      <c r="E157" s="24" t="s">
        <v>292</v>
      </c>
      <c r="F157" s="13">
        <f t="shared" si="9"/>
        <v>31.17</v>
      </c>
      <c r="G157" s="13">
        <v>1558.5</v>
      </c>
      <c r="H157" s="14">
        <v>0.86250000000000004</v>
      </c>
      <c r="I157" s="13">
        <f t="shared" si="10"/>
        <v>4.2858749999999963</v>
      </c>
      <c r="J157" s="13">
        <f t="shared" si="8"/>
        <v>214.29374999999982</v>
      </c>
    </row>
    <row r="158" spans="1:10" x14ac:dyDescent="0.35">
      <c r="A158" s="6">
        <v>60</v>
      </c>
      <c r="B158" s="25"/>
      <c r="C158" s="22" t="s">
        <v>264</v>
      </c>
      <c r="D158" s="22"/>
      <c r="E158" s="25" t="s">
        <v>294</v>
      </c>
      <c r="F158" s="11">
        <f t="shared" si="9"/>
        <v>40.239999999999995</v>
      </c>
      <c r="G158" s="11">
        <v>402.4</v>
      </c>
      <c r="H158" s="12">
        <v>0.86250000000000004</v>
      </c>
      <c r="I158" s="11">
        <f t="shared" si="10"/>
        <v>5.5329999999999986</v>
      </c>
      <c r="J158" s="11">
        <f t="shared" si="8"/>
        <v>55.329999999999984</v>
      </c>
    </row>
    <row r="159" spans="1:10" x14ac:dyDescent="0.35">
      <c r="A159" s="8"/>
      <c r="B159" s="24" t="s">
        <v>295</v>
      </c>
      <c r="C159" s="21" t="s">
        <v>264</v>
      </c>
      <c r="D159" s="21" t="s">
        <v>296</v>
      </c>
      <c r="E159" s="24" t="s">
        <v>294</v>
      </c>
      <c r="F159" s="13">
        <f t="shared" si="9"/>
        <v>40.239999999999995</v>
      </c>
      <c r="G159" s="13">
        <v>402.4</v>
      </c>
      <c r="H159" s="14">
        <v>0.86250000000000004</v>
      </c>
      <c r="I159" s="13">
        <f t="shared" si="10"/>
        <v>5.5329999999999986</v>
      </c>
      <c r="J159" s="13">
        <f t="shared" si="8"/>
        <v>55.329999999999984</v>
      </c>
    </row>
    <row r="160" spans="1:10" ht="24" thickBot="1" x14ac:dyDescent="0.6">
      <c r="A160" s="36" t="s">
        <v>57</v>
      </c>
      <c r="B160" s="37"/>
      <c r="C160" s="38"/>
      <c r="D160" s="26"/>
      <c r="E160" s="26"/>
      <c r="F160" s="26"/>
      <c r="G160" s="26"/>
      <c r="H160" s="26"/>
      <c r="I160" s="26"/>
      <c r="J160" s="32">
        <f>J158+J156+J154+J134+J74+J7</f>
        <v>6448614.7976249978</v>
      </c>
    </row>
  </sheetData>
  <mergeCells count="1">
    <mergeCell ref="A160:C16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180328-b86f-4b0b-b0eb-74c29e89d42b" xsi:nil="true"/>
    <lcf76f155ced4ddcb4097134ff3c332f xmlns="2527fbd5-c3ce-4018-b06e-5bbdf2429b1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32F7EE128D054E8D8D4484DD127465" ma:contentTypeVersion="14" ma:contentTypeDescription="צור מסמך חדש." ma:contentTypeScope="" ma:versionID="f5dca574d71b83bcc10d3ea2f4e53236">
  <xsd:schema xmlns:xsd="http://www.w3.org/2001/XMLSchema" xmlns:xs="http://www.w3.org/2001/XMLSchema" xmlns:p="http://schemas.microsoft.com/office/2006/metadata/properties" xmlns:ns2="2527fbd5-c3ce-4018-b06e-5bbdf2429b1e" xmlns:ns3="c4180328-b86f-4b0b-b0eb-74c29e89d42b" targetNamespace="http://schemas.microsoft.com/office/2006/metadata/properties" ma:root="true" ma:fieldsID="7e82b19bf90937ba6b1a80ee7f65a809" ns2:_="" ns3:_="">
    <xsd:import namespace="2527fbd5-c3ce-4018-b06e-5bbdf2429b1e"/>
    <xsd:import namespace="c4180328-b86f-4b0b-b0eb-74c29e89d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7fbd5-c3ce-4018-b06e-5bbdf242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תגיות תמונה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80328-b86f-4b0b-b0eb-74c29e89d42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d6721a-2949-4833-84f0-b215caad4c70}" ma:internalName="TaxCatchAll" ma:showField="CatchAllData" ma:web="c4180328-b86f-4b0b-b0eb-74c29e89d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4769F4-EE38-4097-8656-CAA102481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83B265-030C-4F5F-8B56-4827EE818B61}">
  <ds:schemaRefs>
    <ds:schemaRef ds:uri="http://schemas.microsoft.com/office/2006/metadata/properties"/>
    <ds:schemaRef ds:uri="http://schemas.microsoft.com/office/infopath/2007/PartnerControls"/>
    <ds:schemaRef ds:uri="c4180328-b86f-4b0b-b0eb-74c29e89d42b"/>
    <ds:schemaRef ds:uri="2527fbd5-c3ce-4018-b06e-5bbdf2429b1e"/>
  </ds:schemaRefs>
</ds:datastoreItem>
</file>

<file path=customXml/itemProps3.xml><?xml version="1.0" encoding="utf-8"?>
<ds:datastoreItem xmlns:ds="http://schemas.openxmlformats.org/officeDocument/2006/customXml" ds:itemID="{D84E71ED-C4F0-4028-97C8-5C5BBAA3C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7fbd5-c3ce-4018-b06e-5bbdf2429b1e"/>
    <ds:schemaRef ds:uri="c4180328-b86f-4b0b-b0eb-74c29e89d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A</vt:lpstr>
      <vt:lpstr>Option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Nagar, Lidor</dc:creator>
  <cp:lastModifiedBy>Peretz, Nissim</cp:lastModifiedBy>
  <dcterms:created xsi:type="dcterms:W3CDTF">2024-12-25T14:40:02Z</dcterms:created>
  <dcterms:modified xsi:type="dcterms:W3CDTF">2026-03-09T09:45:58Z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2024-12-25T14:40:15Z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f15d719d-d51b-49a7-bd31-dc6a1274fe46</vt:lpwstr>
  </property>
  <property fmtid="{D5CDD505-2E9C-101B-9397-08002B2CF9AE}" pid="8" name="MSIP_Label_dad3be33-4108-4738-9e07-d8656a181486_ContentBits">
    <vt:lpwstr>0</vt:lpwstr>
  </property>
  <property fmtid="{D5CDD505-2E9C-101B-9397-08002B2CF9AE}" pid="9" name="ContentTypeId">
    <vt:lpwstr>0x0101004D32F7EE128D054E8D8D4484DD127465</vt:lpwstr>
  </property>
  <property fmtid="{D5CDD505-2E9C-101B-9397-08002B2CF9AE}" pid="10" name="MediaServiceImageTags">
    <vt:lpwstr/>
  </property>
</Properties>
</file>