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pe-my.sharepoint.com/personal/tomer_gal_hpe_com/Documents/Attachments/לקוחות/אמן/8200/הצעות מחיר/DL385 - SHIMI/"/>
    </mc:Choice>
  </mc:AlternateContent>
  <xr:revisionPtr revIDLastSave="131" documentId="8_{73388091-96A3-4438-9029-4EF1ACD09196}" xr6:coauthVersionLast="47" xr6:coauthVersionMax="47" xr10:uidLastSave="{F659E746-6F63-4729-8E00-4418301A174F}"/>
  <bookViews>
    <workbookView xWindow="-110" yWindow="-110" windowWidth="19420" windowHeight="10300" xr2:uid="{00000000-000D-0000-FFFF-FFFF00000000}"/>
  </bookViews>
  <sheets>
    <sheet name="סיכום" sheetId="7" r:id="rId1"/>
    <sheet name="HPE DL360 " sheetId="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19" l="1"/>
  <c r="F40" i="19" l="1"/>
  <c r="F38" i="19"/>
  <c r="F36" i="19"/>
  <c r="F34" i="19"/>
  <c r="F32" i="19"/>
  <c r="F27" i="19"/>
  <c r="F25" i="19"/>
  <c r="F23" i="19"/>
  <c r="F21" i="19"/>
  <c r="F19" i="19"/>
  <c r="F17" i="19"/>
  <c r="F15" i="19"/>
  <c r="F13" i="19"/>
  <c r="F11" i="19"/>
  <c r="F10" i="19"/>
  <c r="F28" i="19"/>
  <c r="F30" i="19"/>
  <c r="E42" i="19"/>
  <c r="E13" i="19"/>
  <c r="E38" i="19"/>
  <c r="E39" i="19"/>
  <c r="E40" i="19"/>
  <c r="E41" i="19"/>
  <c r="E8" i="19"/>
  <c r="B10" i="7"/>
  <c r="E9" i="19" l="1"/>
  <c r="E10" i="19"/>
  <c r="E11" i="19"/>
  <c r="E12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7" i="19" l="1"/>
  <c r="D10" i="7" s="1"/>
  <c r="E10" i="7" s="1"/>
  <c r="F8" i="19" l="1"/>
  <c r="H8" i="19"/>
  <c r="H34" i="19"/>
  <c r="H41" i="19"/>
  <c r="H25" i="19"/>
  <c r="H17" i="19"/>
  <c r="H32" i="19"/>
  <c r="H24" i="19"/>
  <c r="H16" i="19"/>
  <c r="H19" i="19"/>
  <c r="H42" i="19"/>
  <c r="H9" i="19"/>
  <c r="H39" i="19"/>
  <c r="H31" i="19"/>
  <c r="H23" i="19"/>
  <c r="H15" i="19"/>
  <c r="H27" i="19"/>
  <c r="H18" i="19"/>
  <c r="H38" i="19"/>
  <c r="H30" i="19"/>
  <c r="H22" i="19"/>
  <c r="H14" i="19"/>
  <c r="H11" i="19"/>
  <c r="H26" i="19"/>
  <c r="H35" i="19"/>
  <c r="H40" i="19"/>
  <c r="H37" i="19"/>
  <c r="H29" i="19"/>
  <c r="H13" i="19"/>
  <c r="H21" i="19"/>
  <c r="H10" i="19"/>
  <c r="H33" i="19"/>
  <c r="H36" i="19"/>
  <c r="H28" i="19"/>
  <c r="H20" i="19"/>
  <c r="H12" i="19"/>
  <c r="H7" i="19" l="1"/>
  <c r="F10" i="7" s="1"/>
  <c r="G10" i="7" s="1"/>
  <c r="F7" i="19" l="1"/>
</calcChain>
</file>

<file path=xl/sharedStrings.xml><?xml version="1.0" encoding="utf-8"?>
<sst xmlns="http://schemas.openxmlformats.org/spreadsheetml/2006/main" count="130" uniqueCount="69">
  <si>
    <t>Qty</t>
  </si>
  <si>
    <t>Factory Integrated</t>
  </si>
  <si>
    <t xml:space="preserve"> Qty</t>
  </si>
  <si>
    <t>Prod#</t>
  </si>
  <si>
    <t>Description</t>
  </si>
  <si>
    <t>Unit List Price</t>
  </si>
  <si>
    <t>Summary</t>
  </si>
  <si>
    <t>UCID</t>
  </si>
  <si>
    <t>Total List Price</t>
  </si>
  <si>
    <t>Total Net Price</t>
  </si>
  <si>
    <t>Unit Net Price</t>
  </si>
  <si>
    <t>Total List</t>
  </si>
  <si>
    <t>Disc %</t>
  </si>
  <si>
    <t>Unit Net</t>
  </si>
  <si>
    <t>Total Net</t>
  </si>
  <si>
    <t>ILS Content (USD)</t>
  </si>
  <si>
    <t>FACTORY INTEGRATED</t>
  </si>
  <si>
    <t>Factory integrated</t>
  </si>
  <si>
    <t>DL360</t>
  </si>
  <si>
    <t>DL360 Gen12 060326</t>
  </si>
  <si>
    <t>P78279-B21</t>
  </si>
  <si>
    <t>1</t>
  </si>
  <si>
    <t>2</t>
  </si>
  <si>
    <t>4</t>
  </si>
  <si>
    <t>HPE NS204i-u V2 Ht Plg Boot Opt Dev</t>
  </si>
  <si>
    <t>0.00</t>
  </si>
  <si>
    <t>DL385</t>
  </si>
  <si>
    <t>5149300100-03</t>
  </si>
  <si>
    <t>NQ10094750-01</t>
  </si>
  <si>
    <t>תוקף ההצעה 09.04.2026</t>
  </si>
  <si>
    <t>24</t>
  </si>
  <si>
    <t>6</t>
  </si>
  <si>
    <t>48</t>
  </si>
  <si>
    <t>P57844-B21</t>
  </si>
  <si>
    <t>HA849A1</t>
  </si>
  <si>
    <t>P72646-B21</t>
  </si>
  <si>
    <t>P64988-B21</t>
  </si>
  <si>
    <t>P55082-B21</t>
  </si>
  <si>
    <t>P47184-B21</t>
  </si>
  <si>
    <t>P01367-B21</t>
  </si>
  <si>
    <t>P73114-B21</t>
  </si>
  <si>
    <t>P44712-B21</t>
  </si>
  <si>
    <t>P57849-B21</t>
  </si>
  <si>
    <t>P57887-B21</t>
  </si>
  <si>
    <t>P58465-B21</t>
  </si>
  <si>
    <t>P84239-B21</t>
  </si>
  <si>
    <t>P52347-B21</t>
  </si>
  <si>
    <t>P57885-B21</t>
  </si>
  <si>
    <t>P57888-B21</t>
  </si>
  <si>
    <t>P58460-B21</t>
  </si>
  <si>
    <t>E5Y35AAE</t>
  </si>
  <si>
    <t>HPE DL385 Gen11 48SFF CTO Server</t>
  </si>
  <si>
    <t>HPE Product and Package Labeling SVC</t>
  </si>
  <si>
    <t>AMD EPYC 9845 CPU for HPE</t>
  </si>
  <si>
    <t>HPE 128GB 2Rx4 PC5-6400B-R Smart Kit</t>
  </si>
  <si>
    <t>HPE DL385 Gen11 8SFF TM U.3 x1 BC BP Kit</t>
  </si>
  <si>
    <t>HPE SR932i-p Gen11 SPDM Storage Cntlr</t>
  </si>
  <si>
    <t>HPE 96W Smart Stg Li-ion Batt 260mm Kit</t>
  </si>
  <si>
    <t>BCM 57608 100GbE 2p QSFP112 OCP3 Adptr</t>
  </si>
  <si>
    <t>HPE 1800W-2200W FS Ti Ht Plg PS Kit</t>
  </si>
  <si>
    <t>HPE DL3X5 G11 x16 OCP1 OCP2 2P Upg Kit</t>
  </si>
  <si>
    <t>HPE DL385 G11 2U HighPerf FIO Baffle Kit</t>
  </si>
  <si>
    <t>HPE DL3X5 Gen11 2U Perf Fan Kit</t>
  </si>
  <si>
    <t>HPE 15.36TB NVMe RI BC U.3 7500b SSD</t>
  </si>
  <si>
    <t>HPE Ball Bearing Rail 10 Kit</t>
  </si>
  <si>
    <t>HPE DL3X5 G11 Sec NS204i-u Enable Kit</t>
  </si>
  <si>
    <t>HPE DL385 Gen11 PDB Kit</t>
  </si>
  <si>
    <t>HPE DL3X5 Gen11 Max Perf 2U HS Kit</t>
  </si>
  <si>
    <t>HPE OV 3yr 24x7 Supp Flex E-LTU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</si>
</sst>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.00_ ;_ * \-#,##0.00_ ;_ * &quot;-&quot;??_ ;_ @_ "/>
    <numFmt numFmtId="167" formatCode="_ * #,##0_ ;_ * \-#,##0_ ;_ * &quot;-&quot;??_ ;_ @_ "/>
    <numFmt numFmtId="168" formatCode="_(* #,##0_);_(* \(#,##0\);_(* &quot;-&quot;??_);_(@_)"/>
  </numFmts>
  <fonts count="16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Aptos"/>
      <family val="2"/>
    </font>
    <font>
      <sz val="12"/>
      <color theme="0"/>
      <name val="Calibri"/>
      <family val="2"/>
      <scheme val="minor"/>
    </font>
    <font>
      <sz val="10"/>
      <color indexed="12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3" fillId="6" borderId="2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3" xfId="0" applyFill="1" applyBorder="1"/>
    <xf numFmtId="0" fontId="0" fillId="6" borderId="0" xfId="0" applyFill="1"/>
    <xf numFmtId="0" fontId="0" fillId="6" borderId="5" xfId="0" applyFill="1" applyBorder="1"/>
    <xf numFmtId="14" fontId="6" fillId="6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3" fontId="2" fillId="3" borderId="6" xfId="0" applyNumberFormat="1" applyFont="1" applyFill="1" applyBorder="1"/>
    <xf numFmtId="3" fontId="2" fillId="3" borderId="6" xfId="0" applyNumberFormat="1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14" fontId="8" fillId="6" borderId="0" xfId="0" applyNumberFormat="1" applyFont="1" applyFill="1" applyAlignment="1">
      <alignment horizontal="center"/>
    </xf>
    <xf numFmtId="167" fontId="8" fillId="8" borderId="1" xfId="1" applyNumberFormat="1" applyFont="1" applyFill="1" applyBorder="1" applyAlignment="1">
      <alignment horizontal="center" vertical="top"/>
    </xf>
    <xf numFmtId="167" fontId="8" fillId="8" borderId="1" xfId="1" applyNumberFormat="1" applyFont="1" applyFill="1" applyBorder="1" applyAlignment="1">
      <alignment vertical="top"/>
    </xf>
    <xf numFmtId="167" fontId="8" fillId="8" borderId="7" xfId="1" applyNumberFormat="1" applyFont="1" applyFill="1" applyBorder="1" applyAlignment="1">
      <alignment vertical="top"/>
    </xf>
    <xf numFmtId="167" fontId="8" fillId="8" borderId="8" xfId="1" applyNumberFormat="1" applyFont="1" applyFill="1" applyBorder="1" applyAlignment="1">
      <alignment horizontal="center" vertical="top"/>
    </xf>
    <xf numFmtId="164" fontId="9" fillId="0" borderId="0" xfId="2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4" fillId="5" borderId="13" xfId="0" applyFont="1" applyFill="1" applyBorder="1" applyAlignment="1">
      <alignment horizontal="center"/>
    </xf>
    <xf numFmtId="10" fontId="2" fillId="3" borderId="6" xfId="0" applyNumberFormat="1" applyFont="1" applyFill="1" applyBorder="1" applyAlignment="1" applyProtection="1">
      <alignment horizontal="center"/>
      <protection locked="0"/>
    </xf>
    <xf numFmtId="167" fontId="2" fillId="3" borderId="6" xfId="1" applyNumberFormat="1" applyFont="1" applyFill="1" applyBorder="1" applyAlignment="1" applyProtection="1">
      <alignment horizontal="center"/>
      <protection locked="0"/>
    </xf>
    <xf numFmtId="165" fontId="5" fillId="4" borderId="13" xfId="0" applyNumberFormat="1" applyFont="1" applyFill="1" applyBorder="1" applyAlignment="1">
      <alignment horizontal="center"/>
    </xf>
    <xf numFmtId="10" fontId="0" fillId="0" borderId="12" xfId="5" applyNumberFormat="1" applyFont="1" applyBorder="1"/>
    <xf numFmtId="0" fontId="9" fillId="0" borderId="0" xfId="0" applyFont="1"/>
    <xf numFmtId="0" fontId="2" fillId="4" borderId="13" xfId="0" applyFont="1" applyFill="1" applyBorder="1" applyAlignment="1">
      <alignment horizontal="center"/>
    </xf>
    <xf numFmtId="168" fontId="4" fillId="4" borderId="13" xfId="0" applyNumberFormat="1" applyFont="1" applyFill="1" applyBorder="1" applyAlignment="1">
      <alignment horizontal="center"/>
    </xf>
    <xf numFmtId="10" fontId="4" fillId="4" borderId="13" xfId="5" applyNumberFormat="1" applyFont="1" applyFill="1" applyBorder="1" applyAlignment="1">
      <alignment horizontal="center"/>
    </xf>
    <xf numFmtId="0" fontId="0" fillId="0" borderId="14" xfId="0" applyBorder="1"/>
    <xf numFmtId="164" fontId="9" fillId="0" borderId="1" xfId="2" applyFont="1" applyBorder="1" applyAlignment="1">
      <alignment horizontal="center" vertical="top"/>
    </xf>
    <xf numFmtId="0" fontId="10" fillId="2" borderId="1" xfId="0" applyFont="1" applyFill="1" applyBorder="1" applyAlignment="1">
      <alignment horizontal="center"/>
    </xf>
    <xf numFmtId="164" fontId="9" fillId="6" borderId="1" xfId="2" applyFont="1" applyFill="1" applyBorder="1" applyAlignment="1">
      <alignment horizontal="center" vertical="top"/>
    </xf>
    <xf numFmtId="164" fontId="9" fillId="0" borderId="8" xfId="2" applyFont="1" applyBorder="1" applyAlignment="1">
      <alignment horizontal="center" vertical="top"/>
    </xf>
    <xf numFmtId="0" fontId="11" fillId="6" borderId="7" xfId="0" applyFont="1" applyFill="1" applyBorder="1" applyAlignment="1">
      <alignment horizontal="center"/>
    </xf>
    <xf numFmtId="0" fontId="0" fillId="0" borderId="14" xfId="0" applyBorder="1" applyAlignment="1">
      <alignment horizontal="right"/>
    </xf>
    <xf numFmtId="164" fontId="13" fillId="0" borderId="0" xfId="2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164" fontId="9" fillId="0" borderId="1" xfId="2" applyFont="1" applyFill="1" applyBorder="1" applyAlignment="1">
      <alignment vertical="top"/>
    </xf>
    <xf numFmtId="0" fontId="14" fillId="0" borderId="14" xfId="0" applyFont="1" applyBorder="1" applyAlignment="1">
      <alignment horizontal="right"/>
    </xf>
    <xf numFmtId="0" fontId="0" fillId="0" borderId="12" xfId="5" applyNumberFormat="1" applyFont="1" applyBorder="1"/>
    <xf numFmtId="165" fontId="0" fillId="0" borderId="12" xfId="1" applyFont="1" applyBorder="1"/>
    <xf numFmtId="0" fontId="7" fillId="7" borderId="9" xfId="0" applyFont="1" applyFill="1" applyBorder="1" applyAlignment="1">
      <alignment horizontal="center" vertical="top"/>
    </xf>
    <xf numFmtId="0" fontId="7" fillId="7" borderId="10" xfId="0" applyFont="1" applyFill="1" applyBorder="1" applyAlignment="1">
      <alignment horizontal="center" vertical="top"/>
    </xf>
    <xf numFmtId="0" fontId="7" fillId="7" borderId="1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</cellXfs>
  <cellStyles count="6">
    <cellStyle name="Comma" xfId="1" builtinId="3"/>
    <cellStyle name="Comma 2" xfId="3" xr:uid="{50FC3A17-95C4-494E-9DEF-BF1803A62FB4}"/>
    <cellStyle name="Comma 3" xfId="4" xr:uid="{0DC1708A-571A-4B03-A88F-4402DB4D7461}"/>
    <cellStyle name="Currency" xfId="2" builtinId="4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0</xdr:rowOff>
    </xdr:from>
    <xdr:to>
      <xdr:col>0</xdr:col>
      <xdr:colOff>1514101</xdr:colOff>
      <xdr:row>4</xdr:row>
      <xdr:rowOff>105410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DB5EF0-728C-4932-9061-18EA47968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" y="0"/>
          <a:ext cx="1508125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227475</xdr:colOff>
      <xdr:row>4</xdr:row>
      <xdr:rowOff>72449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64443D-A3D1-46E5-BAAC-431E4A68D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7645" cy="844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43FD-362F-4F44-B5B3-D99DEAD5DAFC}">
  <dimension ref="A1:L20"/>
  <sheetViews>
    <sheetView tabSelected="1" zoomScale="86" zoomScaleNormal="85" workbookViewId="0">
      <selection activeCell="A8" sqref="A8:G8"/>
    </sheetView>
  </sheetViews>
  <sheetFormatPr defaultColWidth="8.81640625" defaultRowHeight="14.5" x14ac:dyDescent="0.35"/>
  <cols>
    <col min="1" max="1" width="24" customWidth="1"/>
    <col min="2" max="2" width="80.81640625" bestFit="1" customWidth="1"/>
    <col min="3" max="3" width="5.81640625" bestFit="1" customWidth="1"/>
    <col min="4" max="4" width="15.81640625" customWidth="1"/>
    <col min="5" max="5" width="16.81640625" bestFit="1" customWidth="1"/>
    <col min="6" max="6" width="14.6328125" bestFit="1" customWidth="1"/>
    <col min="7" max="7" width="22.453125" bestFit="1" customWidth="1"/>
    <col min="8" max="8" width="11.81640625" bestFit="1" customWidth="1"/>
    <col min="9" max="9" width="11.453125" bestFit="1" customWidth="1"/>
    <col min="11" max="11" width="12.81640625" bestFit="1" customWidth="1"/>
    <col min="12" max="12" width="11" customWidth="1"/>
    <col min="13" max="13" width="10.36328125" customWidth="1"/>
    <col min="14" max="14" width="12.453125" bestFit="1" customWidth="1"/>
    <col min="16" max="16" width="12.453125" bestFit="1" customWidth="1"/>
  </cols>
  <sheetData>
    <row r="1" spans="1:12" s="1" customFormat="1" x14ac:dyDescent="0.35">
      <c r="A1" s="2"/>
      <c r="B1" s="9"/>
      <c r="C1" s="9"/>
      <c r="D1" s="9"/>
      <c r="E1" s="9"/>
      <c r="F1"/>
      <c r="G1"/>
      <c r="H1"/>
      <c r="I1"/>
      <c r="J1"/>
    </row>
    <row r="2" spans="1:12" s="1" customFormat="1" x14ac:dyDescent="0.35">
      <c r="A2" s="5"/>
      <c r="B2" s="16" t="s">
        <v>18</v>
      </c>
      <c r="C2" s="10"/>
      <c r="D2" s="10"/>
      <c r="E2" s="10"/>
      <c r="F2"/>
      <c r="G2"/>
      <c r="H2"/>
      <c r="I2"/>
      <c r="J2"/>
    </row>
    <row r="3" spans="1:12" s="1" customFormat="1" x14ac:dyDescent="0.35">
      <c r="A3" s="7"/>
      <c r="B3" s="12">
        <v>46090</v>
      </c>
      <c r="C3" s="10"/>
      <c r="D3" s="10"/>
      <c r="E3" s="10"/>
      <c r="F3"/>
      <c r="G3"/>
      <c r="H3"/>
      <c r="I3"/>
      <c r="J3"/>
    </row>
    <row r="4" spans="1:12" s="1" customFormat="1" x14ac:dyDescent="0.35">
      <c r="A4" s="7"/>
      <c r="B4" s="24" t="s">
        <v>28</v>
      </c>
      <c r="C4" s="10"/>
      <c r="D4" s="10"/>
      <c r="E4" s="10"/>
      <c r="F4"/>
      <c r="G4"/>
      <c r="H4"/>
      <c r="I4"/>
      <c r="J4"/>
    </row>
    <row r="5" spans="1:12" s="1" customFormat="1" x14ac:dyDescent="0.35">
      <c r="A5" s="7"/>
      <c r="B5" s="10"/>
      <c r="C5" s="10"/>
      <c r="D5" s="10"/>
      <c r="E5" s="10"/>
      <c r="F5"/>
      <c r="G5"/>
      <c r="H5"/>
      <c r="I5"/>
      <c r="J5"/>
    </row>
    <row r="6" spans="1:12" s="1" customFormat="1" x14ac:dyDescent="0.35">
      <c r="A6" s="7"/>
      <c r="B6" s="23"/>
      <c r="C6" s="10"/>
      <c r="D6" s="10"/>
      <c r="E6" s="10"/>
      <c r="F6"/>
      <c r="G6"/>
      <c r="H6"/>
      <c r="I6"/>
      <c r="J6"/>
    </row>
    <row r="7" spans="1:12" s="1" customFormat="1" ht="15" thickBot="1" x14ac:dyDescent="0.4">
      <c r="A7" s="7"/>
      <c r="B7" s="10"/>
      <c r="C7" s="10"/>
      <c r="D7" s="10"/>
      <c r="E7" s="10"/>
      <c r="F7"/>
      <c r="G7"/>
      <c r="H7"/>
      <c r="I7"/>
      <c r="J7"/>
      <c r="K7"/>
      <c r="L7"/>
    </row>
    <row r="8" spans="1:12" ht="23.5" x14ac:dyDescent="0.35">
      <c r="A8" s="47" t="s">
        <v>6</v>
      </c>
      <c r="B8" s="48"/>
      <c r="C8" s="48"/>
      <c r="D8" s="48"/>
      <c r="E8" s="48"/>
      <c r="F8" s="48"/>
      <c r="G8" s="49"/>
    </row>
    <row r="9" spans="1:12" ht="15.5" x14ac:dyDescent="0.35">
      <c r="A9" s="20" t="s">
        <v>7</v>
      </c>
      <c r="B9" s="19" t="s">
        <v>4</v>
      </c>
      <c r="C9" s="18" t="s">
        <v>0</v>
      </c>
      <c r="D9" s="18" t="s">
        <v>5</v>
      </c>
      <c r="E9" s="18" t="s">
        <v>8</v>
      </c>
      <c r="F9" s="18" t="s">
        <v>10</v>
      </c>
      <c r="G9" s="21" t="s">
        <v>9</v>
      </c>
    </row>
    <row r="10" spans="1:12" ht="15.5" x14ac:dyDescent="0.35">
      <c r="A10" s="39" t="s">
        <v>27</v>
      </c>
      <c r="B10" s="35" t="str">
        <f>'HPE DL360 '!C2</f>
        <v>DL385</v>
      </c>
      <c r="C10" s="36">
        <v>4</v>
      </c>
      <c r="D10" s="35">
        <f>'HPE DL360 '!E7</f>
        <v>3377387</v>
      </c>
      <c r="E10" s="35">
        <f>D10*C10</f>
        <v>13509548</v>
      </c>
      <c r="F10" s="37">
        <f>'HPE DL360 '!H7</f>
        <v>640591.18000000017</v>
      </c>
      <c r="G10" s="38">
        <f>F10*C10</f>
        <v>2562364.7200000007</v>
      </c>
    </row>
    <row r="11" spans="1:12" ht="15.5" x14ac:dyDescent="0.35">
      <c r="A11" s="22"/>
      <c r="B11" s="22"/>
      <c r="C11" s="22"/>
      <c r="D11" s="22"/>
      <c r="E11" s="22"/>
    </row>
    <row r="12" spans="1:12" ht="15.5" x14ac:dyDescent="0.35">
      <c r="A12" s="22"/>
      <c r="B12" s="30"/>
      <c r="C12" s="22"/>
      <c r="D12" s="22"/>
      <c r="E12" s="22"/>
      <c r="F12" s="22"/>
      <c r="G12" s="22"/>
      <c r="H12" s="22"/>
      <c r="I12" s="22"/>
    </row>
    <row r="13" spans="1:12" ht="15.5" x14ac:dyDescent="0.35">
      <c r="A13" s="13"/>
      <c r="B13" s="42" t="s">
        <v>29</v>
      </c>
      <c r="C13" s="22"/>
      <c r="D13" s="22"/>
      <c r="E13" s="50" t="s">
        <v>15</v>
      </c>
      <c r="F13" s="50"/>
      <c r="G13" s="43">
        <v>0</v>
      </c>
      <c r="H13" s="22"/>
      <c r="I13" s="22"/>
    </row>
    <row r="14" spans="1:12" ht="15.5" x14ac:dyDescent="0.35">
      <c r="B14" s="30"/>
      <c r="C14" s="22"/>
      <c r="D14" s="22"/>
      <c r="E14" s="22"/>
      <c r="F14" s="22"/>
      <c r="G14" s="22"/>
      <c r="H14" s="22"/>
      <c r="I14" s="22"/>
    </row>
    <row r="15" spans="1:12" ht="15.5" x14ac:dyDescent="0.35">
      <c r="B15" s="30"/>
      <c r="C15" s="22"/>
      <c r="D15" s="22"/>
      <c r="E15" s="22"/>
      <c r="F15" s="22"/>
      <c r="G15" s="22"/>
      <c r="H15" s="22"/>
      <c r="I15" s="22"/>
    </row>
    <row r="16" spans="1:12" ht="15.5" x14ac:dyDescent="0.35">
      <c r="B16" s="22"/>
      <c r="C16" s="22"/>
      <c r="D16" s="22"/>
      <c r="E16" s="22"/>
      <c r="F16" s="22"/>
      <c r="G16" s="22"/>
      <c r="H16" s="22"/>
      <c r="I16" s="22"/>
    </row>
    <row r="17" spans="2:9" ht="15.5" x14ac:dyDescent="0.35">
      <c r="B17" s="22"/>
      <c r="C17" s="22"/>
      <c r="D17" s="22"/>
      <c r="E17" s="22"/>
      <c r="F17" s="22"/>
      <c r="G17" s="41"/>
      <c r="H17" s="22"/>
      <c r="I17" s="22"/>
    </row>
    <row r="18" spans="2:9" ht="15.5" x14ac:dyDescent="0.35">
      <c r="B18" s="22"/>
      <c r="C18" s="22"/>
      <c r="D18" s="22"/>
      <c r="E18" s="22"/>
      <c r="F18" s="22"/>
      <c r="G18" s="22"/>
      <c r="H18" s="22"/>
      <c r="I18" s="22"/>
    </row>
    <row r="19" spans="2:9" ht="15.5" x14ac:dyDescent="0.35">
      <c r="B19" s="22"/>
      <c r="C19" s="22"/>
      <c r="D19" s="22"/>
      <c r="E19" s="22"/>
      <c r="F19" s="22"/>
      <c r="G19" s="22"/>
      <c r="H19" s="22"/>
      <c r="I19" s="22"/>
    </row>
    <row r="20" spans="2:9" ht="15.5" x14ac:dyDescent="0.35">
      <c r="B20" s="22"/>
      <c r="C20" s="22"/>
      <c r="D20" s="22"/>
      <c r="E20" s="22"/>
      <c r="F20" s="22"/>
      <c r="G20" s="22"/>
      <c r="H20" s="22"/>
      <c r="I20" s="22"/>
    </row>
  </sheetData>
  <mergeCells count="2">
    <mergeCell ref="A8:G8"/>
    <mergeCell ref="E13:F1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F66F-9B36-4A99-B77D-AAACCA088120}">
  <dimension ref="A1:P42"/>
  <sheetViews>
    <sheetView zoomScale="90" zoomScaleNormal="90" workbookViewId="0">
      <selection activeCell="C6" sqref="C6"/>
    </sheetView>
  </sheetViews>
  <sheetFormatPr defaultColWidth="8.81640625" defaultRowHeight="14.5" x14ac:dyDescent="0.35"/>
  <cols>
    <col min="1" max="1" width="4.36328125" bestFit="1" customWidth="1"/>
    <col min="2" max="2" width="15" bestFit="1" customWidth="1"/>
    <col min="3" max="3" width="89.1796875" bestFit="1" customWidth="1"/>
    <col min="4" max="4" width="12.54296875" bestFit="1" customWidth="1"/>
    <col min="5" max="5" width="12.7265625" bestFit="1" customWidth="1"/>
    <col min="6" max="6" width="10.453125" bestFit="1" customWidth="1"/>
    <col min="7" max="8" width="12.81640625" customWidth="1"/>
    <col min="9" max="9" width="10.1796875" bestFit="1" customWidth="1"/>
  </cols>
  <sheetData>
    <row r="1" spans="1:16" x14ac:dyDescent="0.35">
      <c r="A1" s="9"/>
      <c r="B1" s="3"/>
      <c r="C1" s="3"/>
      <c r="D1" s="3"/>
      <c r="E1" s="4"/>
      <c r="F1" s="4"/>
      <c r="G1" s="4"/>
      <c r="J1" s="1"/>
      <c r="K1" s="1"/>
      <c r="L1" s="1"/>
      <c r="M1" s="1"/>
      <c r="N1" s="1"/>
      <c r="O1" s="1"/>
      <c r="P1" s="1"/>
    </row>
    <row r="2" spans="1:16" ht="15.5" x14ac:dyDescent="0.35">
      <c r="A2" s="10"/>
      <c r="B2" s="6"/>
      <c r="C2" s="17" t="s">
        <v>26</v>
      </c>
      <c r="D2" s="1"/>
      <c r="E2" s="1"/>
      <c r="F2" s="1"/>
      <c r="G2" s="1"/>
      <c r="J2" s="1"/>
      <c r="K2" s="1"/>
      <c r="L2" s="1"/>
      <c r="M2" s="1"/>
      <c r="N2" s="1"/>
      <c r="O2" s="1"/>
      <c r="P2" s="1"/>
    </row>
    <row r="3" spans="1:16" ht="15.5" x14ac:dyDescent="0.35">
      <c r="A3" s="10"/>
      <c r="B3" s="6"/>
      <c r="C3" s="17" t="s">
        <v>27</v>
      </c>
      <c r="D3" s="1"/>
      <c r="E3" s="1"/>
      <c r="F3" s="1"/>
      <c r="G3" s="1"/>
      <c r="J3" s="1"/>
      <c r="K3" s="1"/>
      <c r="L3" s="1"/>
      <c r="M3" s="1"/>
      <c r="N3" s="1"/>
      <c r="O3" s="1"/>
      <c r="P3" s="1"/>
    </row>
    <row r="4" spans="1:16" ht="15.5" x14ac:dyDescent="0.35">
      <c r="A4" s="10"/>
      <c r="B4" s="6"/>
      <c r="C4" s="17">
        <v>46090</v>
      </c>
      <c r="D4" s="1"/>
      <c r="E4" s="1"/>
      <c r="F4" s="1"/>
      <c r="G4" s="1"/>
      <c r="J4" s="1"/>
      <c r="K4" s="1"/>
      <c r="L4" s="1"/>
      <c r="M4" s="1"/>
      <c r="N4" s="1"/>
      <c r="O4" s="1"/>
      <c r="P4" s="1"/>
    </row>
    <row r="5" spans="1:16" x14ac:dyDescent="0.35">
      <c r="A5" s="11"/>
      <c r="B5" s="8"/>
      <c r="C5" s="8"/>
    </row>
    <row r="6" spans="1:16" ht="15" thickBot="1" x14ac:dyDescent="0.4">
      <c r="A6" s="14" t="s">
        <v>2</v>
      </c>
      <c r="B6" s="15" t="s">
        <v>3</v>
      </c>
      <c r="C6" s="15" t="s">
        <v>4</v>
      </c>
      <c r="D6" s="15" t="s">
        <v>5</v>
      </c>
      <c r="E6" s="15" t="s">
        <v>11</v>
      </c>
      <c r="F6" s="26" t="s">
        <v>12</v>
      </c>
      <c r="G6" s="27" t="s">
        <v>13</v>
      </c>
      <c r="H6" s="27" t="s">
        <v>14</v>
      </c>
    </row>
    <row r="7" spans="1:16" ht="15" thickBot="1" x14ac:dyDescent="0.4">
      <c r="A7" s="25"/>
      <c r="B7" s="25"/>
      <c r="C7" s="25" t="s">
        <v>19</v>
      </c>
      <c r="D7" s="31"/>
      <c r="E7" s="32">
        <f>SUM(E8:E42)</f>
        <v>3377387</v>
      </c>
      <c r="F7" s="33">
        <f>1-(H7/E7)</f>
        <v>0.81032935224775837</v>
      </c>
      <c r="G7" s="28"/>
      <c r="H7" s="28">
        <f>SUM(H8:H42)</f>
        <v>640591.18000000017</v>
      </c>
    </row>
    <row r="8" spans="1:16" x14ac:dyDescent="0.35">
      <c r="A8" s="44" t="s">
        <v>21</v>
      </c>
      <c r="B8" s="34" t="s">
        <v>33</v>
      </c>
      <c r="C8" s="34" t="s">
        <v>51</v>
      </c>
      <c r="D8" s="40">
        <v>7493</v>
      </c>
      <c r="E8" s="46">
        <f>D8*A8</f>
        <v>7493</v>
      </c>
      <c r="F8" s="29">
        <f>1-(G8/D8)</f>
        <v>0.68694781796343252</v>
      </c>
      <c r="G8" s="46">
        <v>2345.6999999999998</v>
      </c>
      <c r="H8" s="46">
        <f>G8*A8</f>
        <v>2345.6999999999998</v>
      </c>
    </row>
    <row r="9" spans="1:16" x14ac:dyDescent="0.35">
      <c r="A9" s="44" t="s">
        <v>21</v>
      </c>
      <c r="B9" s="34" t="s">
        <v>33</v>
      </c>
      <c r="C9" s="34" t="s">
        <v>51</v>
      </c>
      <c r="D9" s="40" t="s">
        <v>25</v>
      </c>
      <c r="E9" s="46">
        <f t="shared" ref="E9:E41" si="0">D9*A9</f>
        <v>0</v>
      </c>
      <c r="F9" s="45"/>
      <c r="G9" s="46">
        <v>0</v>
      </c>
      <c r="H9" s="46">
        <f t="shared" ref="H9:H41" si="1">G9*A9</f>
        <v>0</v>
      </c>
    </row>
    <row r="10" spans="1:16" x14ac:dyDescent="0.35">
      <c r="A10" s="44" t="s">
        <v>21</v>
      </c>
      <c r="B10" s="34" t="s">
        <v>34</v>
      </c>
      <c r="C10" s="34" t="s">
        <v>52</v>
      </c>
      <c r="D10" s="40">
        <v>25</v>
      </c>
      <c r="E10" s="46">
        <f t="shared" si="0"/>
        <v>25</v>
      </c>
      <c r="F10" s="29">
        <f t="shared" ref="F10:F42" si="2">1-(G10/D10)</f>
        <v>0.54759999999999998</v>
      </c>
      <c r="G10" s="46">
        <v>11.31</v>
      </c>
      <c r="H10" s="46">
        <f t="shared" si="1"/>
        <v>11.31</v>
      </c>
    </row>
    <row r="11" spans="1:16" x14ac:dyDescent="0.35">
      <c r="A11" s="44" t="s">
        <v>22</v>
      </c>
      <c r="B11" s="34" t="s">
        <v>35</v>
      </c>
      <c r="C11" s="34" t="s">
        <v>53</v>
      </c>
      <c r="D11" s="40">
        <v>28484</v>
      </c>
      <c r="E11" s="46">
        <f t="shared" si="0"/>
        <v>56968</v>
      </c>
      <c r="F11" s="29">
        <f t="shared" si="2"/>
        <v>0.61784826569302065</v>
      </c>
      <c r="G11" s="46">
        <v>10885.21</v>
      </c>
      <c r="H11" s="46">
        <f t="shared" si="1"/>
        <v>21770.42</v>
      </c>
    </row>
    <row r="12" spans="1:16" x14ac:dyDescent="0.35">
      <c r="A12" s="44" t="s">
        <v>22</v>
      </c>
      <c r="B12" s="34" t="s">
        <v>35</v>
      </c>
      <c r="C12" s="34" t="s">
        <v>1</v>
      </c>
      <c r="D12" s="40">
        <v>0</v>
      </c>
      <c r="E12" s="46">
        <f t="shared" si="0"/>
        <v>0</v>
      </c>
      <c r="F12" s="29"/>
      <c r="G12" s="46">
        <v>0</v>
      </c>
      <c r="H12" s="46">
        <f t="shared" si="1"/>
        <v>0</v>
      </c>
    </row>
    <row r="13" spans="1:16" x14ac:dyDescent="0.35">
      <c r="A13" s="44" t="s">
        <v>30</v>
      </c>
      <c r="B13" s="34" t="s">
        <v>36</v>
      </c>
      <c r="C13" s="34" t="s">
        <v>54</v>
      </c>
      <c r="D13" s="40">
        <v>53835</v>
      </c>
      <c r="E13" s="46">
        <f>D13*A13</f>
        <v>1292040</v>
      </c>
      <c r="F13" s="29">
        <f t="shared" si="2"/>
        <v>0.81534875081266833</v>
      </c>
      <c r="G13" s="46">
        <v>9940.7000000000007</v>
      </c>
      <c r="H13" s="46">
        <f t="shared" si="1"/>
        <v>238576.80000000002</v>
      </c>
    </row>
    <row r="14" spans="1:16" x14ac:dyDescent="0.35">
      <c r="A14" s="44" t="s">
        <v>30</v>
      </c>
      <c r="B14" s="34" t="s">
        <v>36</v>
      </c>
      <c r="C14" s="34" t="s">
        <v>17</v>
      </c>
      <c r="D14" s="40">
        <v>0</v>
      </c>
      <c r="E14" s="46">
        <f t="shared" si="0"/>
        <v>0</v>
      </c>
      <c r="F14" s="29"/>
      <c r="G14" s="46">
        <v>0</v>
      </c>
      <c r="H14" s="46">
        <f t="shared" si="1"/>
        <v>0</v>
      </c>
    </row>
    <row r="15" spans="1:16" x14ac:dyDescent="0.35">
      <c r="A15" s="44" t="s">
        <v>31</v>
      </c>
      <c r="B15" s="34" t="s">
        <v>37</v>
      </c>
      <c r="C15" s="34" t="s">
        <v>55</v>
      </c>
      <c r="D15" s="40">
        <v>376</v>
      </c>
      <c r="E15" s="46">
        <f t="shared" si="0"/>
        <v>2256</v>
      </c>
      <c r="F15" s="29">
        <f t="shared" si="2"/>
        <v>0.7425797872340425</v>
      </c>
      <c r="G15" s="46">
        <v>96.79</v>
      </c>
      <c r="H15" s="46">
        <f t="shared" si="1"/>
        <v>580.74</v>
      </c>
    </row>
    <row r="16" spans="1:16" x14ac:dyDescent="0.35">
      <c r="A16" s="44" t="s">
        <v>31</v>
      </c>
      <c r="B16" s="34" t="s">
        <v>37</v>
      </c>
      <c r="C16" s="34" t="s">
        <v>1</v>
      </c>
      <c r="D16" s="40">
        <v>0</v>
      </c>
      <c r="E16" s="46">
        <f t="shared" si="0"/>
        <v>0</v>
      </c>
      <c r="F16" s="29"/>
      <c r="G16" s="46">
        <v>0</v>
      </c>
      <c r="H16" s="46">
        <f t="shared" si="1"/>
        <v>0</v>
      </c>
    </row>
    <row r="17" spans="1:8" x14ac:dyDescent="0.35">
      <c r="A17" s="44" t="s">
        <v>22</v>
      </c>
      <c r="B17" s="34" t="s">
        <v>38</v>
      </c>
      <c r="C17" s="34" t="s">
        <v>56</v>
      </c>
      <c r="D17" s="40">
        <v>11155</v>
      </c>
      <c r="E17" s="46">
        <f t="shared" si="0"/>
        <v>22310</v>
      </c>
      <c r="F17" s="29">
        <f t="shared" si="2"/>
        <v>0.88835320484087854</v>
      </c>
      <c r="G17" s="46">
        <v>1245.42</v>
      </c>
      <c r="H17" s="46">
        <f t="shared" si="1"/>
        <v>2490.84</v>
      </c>
    </row>
    <row r="18" spans="1:8" x14ac:dyDescent="0.35">
      <c r="A18" s="44" t="s">
        <v>22</v>
      </c>
      <c r="B18" s="34" t="s">
        <v>38</v>
      </c>
      <c r="C18" s="34" t="s">
        <v>1</v>
      </c>
      <c r="D18" s="40">
        <v>0</v>
      </c>
      <c r="E18" s="46">
        <f t="shared" si="0"/>
        <v>0</v>
      </c>
      <c r="F18" s="29"/>
      <c r="G18" s="46">
        <v>0</v>
      </c>
      <c r="H18" s="46">
        <f t="shared" si="1"/>
        <v>0</v>
      </c>
    </row>
    <row r="19" spans="1:8" x14ac:dyDescent="0.35">
      <c r="A19" s="44" t="s">
        <v>21</v>
      </c>
      <c r="B19" s="34" t="s">
        <v>39</v>
      </c>
      <c r="C19" s="34" t="s">
        <v>57</v>
      </c>
      <c r="D19" s="40">
        <v>234</v>
      </c>
      <c r="E19" s="46">
        <f t="shared" si="0"/>
        <v>234</v>
      </c>
      <c r="F19" s="29">
        <f t="shared" si="2"/>
        <v>0.80136752136752132</v>
      </c>
      <c r="G19" s="46">
        <v>46.48</v>
      </c>
      <c r="H19" s="46">
        <f t="shared" si="1"/>
        <v>46.48</v>
      </c>
    </row>
    <row r="20" spans="1:8" x14ac:dyDescent="0.35">
      <c r="A20" s="44" t="s">
        <v>21</v>
      </c>
      <c r="B20" s="34" t="s">
        <v>39</v>
      </c>
      <c r="C20" s="34" t="s">
        <v>1</v>
      </c>
      <c r="D20" s="40">
        <v>0</v>
      </c>
      <c r="E20" s="46">
        <f t="shared" si="0"/>
        <v>0</v>
      </c>
      <c r="F20" s="29"/>
      <c r="G20" s="46">
        <v>0</v>
      </c>
      <c r="H20" s="46">
        <f t="shared" si="1"/>
        <v>0</v>
      </c>
    </row>
    <row r="21" spans="1:8" x14ac:dyDescent="0.35">
      <c r="A21" s="44" t="s">
        <v>22</v>
      </c>
      <c r="B21" s="34" t="s">
        <v>40</v>
      </c>
      <c r="C21" s="34" t="s">
        <v>58</v>
      </c>
      <c r="D21" s="40">
        <v>4855</v>
      </c>
      <c r="E21" s="46">
        <f t="shared" si="0"/>
        <v>9710</v>
      </c>
      <c r="F21" s="29">
        <f t="shared" si="2"/>
        <v>0.80721936148300721</v>
      </c>
      <c r="G21" s="46">
        <v>935.95</v>
      </c>
      <c r="H21" s="46">
        <f t="shared" si="1"/>
        <v>1871.9</v>
      </c>
    </row>
    <row r="22" spans="1:8" x14ac:dyDescent="0.35">
      <c r="A22" s="44" t="s">
        <v>22</v>
      </c>
      <c r="B22" s="34" t="s">
        <v>40</v>
      </c>
      <c r="C22" s="34" t="s">
        <v>17</v>
      </c>
      <c r="D22" s="40">
        <v>0</v>
      </c>
      <c r="E22" s="46">
        <f t="shared" si="0"/>
        <v>0</v>
      </c>
      <c r="F22" s="29"/>
      <c r="G22" s="46">
        <v>0</v>
      </c>
      <c r="H22" s="46">
        <f t="shared" si="1"/>
        <v>0</v>
      </c>
    </row>
    <row r="23" spans="1:8" x14ac:dyDescent="0.35">
      <c r="A23" s="44" t="s">
        <v>23</v>
      </c>
      <c r="B23" s="34" t="s">
        <v>41</v>
      </c>
      <c r="C23" s="34" t="s">
        <v>59</v>
      </c>
      <c r="D23" s="40">
        <v>1588</v>
      </c>
      <c r="E23" s="46">
        <f t="shared" si="0"/>
        <v>6352</v>
      </c>
      <c r="F23" s="29">
        <f t="shared" si="2"/>
        <v>0.81511335012594455</v>
      </c>
      <c r="G23" s="46">
        <v>293.60000000000002</v>
      </c>
      <c r="H23" s="46">
        <f t="shared" si="1"/>
        <v>1174.4000000000001</v>
      </c>
    </row>
    <row r="24" spans="1:8" x14ac:dyDescent="0.35">
      <c r="A24" s="44" t="s">
        <v>23</v>
      </c>
      <c r="B24" s="34" t="s">
        <v>41</v>
      </c>
      <c r="C24" s="34" t="s">
        <v>16</v>
      </c>
      <c r="D24" s="40">
        <v>0</v>
      </c>
      <c r="E24" s="46">
        <f t="shared" si="0"/>
        <v>0</v>
      </c>
      <c r="F24" s="29"/>
      <c r="G24" s="46">
        <v>0</v>
      </c>
      <c r="H24" s="46">
        <f t="shared" si="1"/>
        <v>0</v>
      </c>
    </row>
    <row r="25" spans="1:8" x14ac:dyDescent="0.35">
      <c r="A25" s="44" t="s">
        <v>21</v>
      </c>
      <c r="B25" s="34" t="s">
        <v>42</v>
      </c>
      <c r="C25" s="34" t="s">
        <v>60</v>
      </c>
      <c r="D25" s="40">
        <v>114</v>
      </c>
      <c r="E25" s="46">
        <f t="shared" si="0"/>
        <v>114</v>
      </c>
      <c r="F25" s="29">
        <f t="shared" si="2"/>
        <v>0.53140350877192977</v>
      </c>
      <c r="G25" s="46">
        <v>53.42</v>
      </c>
      <c r="H25" s="46">
        <f t="shared" si="1"/>
        <v>53.42</v>
      </c>
    </row>
    <row r="26" spans="1:8" x14ac:dyDescent="0.35">
      <c r="A26" s="44" t="s">
        <v>21</v>
      </c>
      <c r="B26" s="34" t="s">
        <v>42</v>
      </c>
      <c r="C26" s="34" t="s">
        <v>1</v>
      </c>
      <c r="D26" s="40">
        <v>0</v>
      </c>
      <c r="E26" s="46">
        <f t="shared" si="0"/>
        <v>0</v>
      </c>
      <c r="F26" s="29"/>
      <c r="G26" s="46">
        <v>0</v>
      </c>
      <c r="H26" s="46">
        <f t="shared" si="1"/>
        <v>0</v>
      </c>
    </row>
    <row r="27" spans="1:8" x14ac:dyDescent="0.35">
      <c r="A27" s="44" t="s">
        <v>21</v>
      </c>
      <c r="B27" s="34" t="s">
        <v>43</v>
      </c>
      <c r="C27" s="34" t="s">
        <v>61</v>
      </c>
      <c r="D27" s="40">
        <v>40</v>
      </c>
      <c r="E27" s="46">
        <f t="shared" si="0"/>
        <v>40</v>
      </c>
      <c r="F27" s="29">
        <f t="shared" si="2"/>
        <v>0.72625000000000006</v>
      </c>
      <c r="G27" s="46">
        <v>10.95</v>
      </c>
      <c r="H27" s="46">
        <f t="shared" si="1"/>
        <v>10.95</v>
      </c>
    </row>
    <row r="28" spans="1:8" x14ac:dyDescent="0.35">
      <c r="A28" s="44" t="s">
        <v>31</v>
      </c>
      <c r="B28" s="34" t="s">
        <v>44</v>
      </c>
      <c r="C28" s="34" t="s">
        <v>62</v>
      </c>
      <c r="D28" s="40">
        <v>160</v>
      </c>
      <c r="E28" s="46">
        <f t="shared" si="0"/>
        <v>960</v>
      </c>
      <c r="F28" s="29">
        <f t="shared" si="2"/>
        <v>0.72137499999999999</v>
      </c>
      <c r="G28" s="46">
        <v>44.58</v>
      </c>
      <c r="H28" s="46">
        <f t="shared" si="1"/>
        <v>267.48</v>
      </c>
    </row>
    <row r="29" spans="1:8" x14ac:dyDescent="0.35">
      <c r="A29" s="44" t="s">
        <v>31</v>
      </c>
      <c r="B29" s="34" t="s">
        <v>44</v>
      </c>
      <c r="C29" s="34" t="s">
        <v>1</v>
      </c>
      <c r="D29" s="40">
        <v>0</v>
      </c>
      <c r="E29" s="46">
        <f t="shared" si="0"/>
        <v>0</v>
      </c>
      <c r="F29" s="29"/>
      <c r="G29" s="46">
        <v>0</v>
      </c>
      <c r="H29" s="46">
        <f t="shared" si="1"/>
        <v>0</v>
      </c>
    </row>
    <row r="30" spans="1:8" x14ac:dyDescent="0.35">
      <c r="A30" s="44" t="s">
        <v>32</v>
      </c>
      <c r="B30" s="34" t="s">
        <v>45</v>
      </c>
      <c r="C30" s="34" t="s">
        <v>63</v>
      </c>
      <c r="D30" s="40">
        <v>41115</v>
      </c>
      <c r="E30" s="46">
        <f t="shared" si="0"/>
        <v>1973520</v>
      </c>
      <c r="F30" s="29">
        <f t="shared" si="2"/>
        <v>0.81302468685394624</v>
      </c>
      <c r="G30" s="46">
        <v>7687.49</v>
      </c>
      <c r="H30" s="46">
        <f t="shared" si="1"/>
        <v>368999.52</v>
      </c>
    </row>
    <row r="31" spans="1:8" x14ac:dyDescent="0.35">
      <c r="A31" s="44" t="s">
        <v>32</v>
      </c>
      <c r="B31" s="34" t="s">
        <v>45</v>
      </c>
      <c r="C31" s="34" t="s">
        <v>1</v>
      </c>
      <c r="D31" s="40">
        <v>0</v>
      </c>
      <c r="E31" s="46">
        <f t="shared" si="0"/>
        <v>0</v>
      </c>
      <c r="F31" s="29"/>
      <c r="G31" s="46">
        <v>0</v>
      </c>
      <c r="H31" s="46">
        <f t="shared" si="1"/>
        <v>0</v>
      </c>
    </row>
    <row r="32" spans="1:8" x14ac:dyDescent="0.35">
      <c r="A32" s="44" t="s">
        <v>21</v>
      </c>
      <c r="B32" s="34" t="s">
        <v>46</v>
      </c>
      <c r="C32" s="34" t="s">
        <v>64</v>
      </c>
      <c r="D32" s="40">
        <v>299</v>
      </c>
      <c r="E32" s="46">
        <f t="shared" si="0"/>
        <v>299</v>
      </c>
      <c r="F32" s="29">
        <f t="shared" si="2"/>
        <v>0.69214046822742481</v>
      </c>
      <c r="G32" s="46">
        <v>92.05</v>
      </c>
      <c r="H32" s="46">
        <f t="shared" si="1"/>
        <v>92.05</v>
      </c>
    </row>
    <row r="33" spans="1:8" x14ac:dyDescent="0.35">
      <c r="A33" s="44" t="s">
        <v>21</v>
      </c>
      <c r="B33" s="34" t="s">
        <v>46</v>
      </c>
      <c r="C33" s="34" t="s">
        <v>1</v>
      </c>
      <c r="D33" s="40">
        <v>0</v>
      </c>
      <c r="E33" s="46">
        <f t="shared" si="0"/>
        <v>0</v>
      </c>
      <c r="F33" s="29"/>
      <c r="G33" s="46">
        <v>0</v>
      </c>
      <c r="H33" s="46">
        <f t="shared" si="1"/>
        <v>0</v>
      </c>
    </row>
    <row r="34" spans="1:8" x14ac:dyDescent="0.35">
      <c r="A34" s="44" t="s">
        <v>21</v>
      </c>
      <c r="B34" s="34" t="s">
        <v>47</v>
      </c>
      <c r="C34" s="34" t="s">
        <v>65</v>
      </c>
      <c r="D34" s="40">
        <v>92</v>
      </c>
      <c r="E34" s="46">
        <f t="shared" si="0"/>
        <v>92</v>
      </c>
      <c r="F34" s="29">
        <f t="shared" si="2"/>
        <v>0.71478260869565213</v>
      </c>
      <c r="G34" s="46">
        <v>26.24</v>
      </c>
      <c r="H34" s="46">
        <f t="shared" si="1"/>
        <v>26.24</v>
      </c>
    </row>
    <row r="35" spans="1:8" x14ac:dyDescent="0.35">
      <c r="A35" s="44" t="s">
        <v>21</v>
      </c>
      <c r="B35" s="34" t="s">
        <v>47</v>
      </c>
      <c r="C35" s="34" t="s">
        <v>1</v>
      </c>
      <c r="D35" s="40">
        <v>0</v>
      </c>
      <c r="E35" s="46">
        <f t="shared" si="0"/>
        <v>0</v>
      </c>
      <c r="F35" s="29"/>
      <c r="G35" s="46">
        <v>0</v>
      </c>
      <c r="H35" s="46">
        <f t="shared" si="1"/>
        <v>0</v>
      </c>
    </row>
    <row r="36" spans="1:8" x14ac:dyDescent="0.35">
      <c r="A36" s="44" t="s">
        <v>21</v>
      </c>
      <c r="B36" s="34" t="s">
        <v>48</v>
      </c>
      <c r="C36" s="34" t="s">
        <v>66</v>
      </c>
      <c r="D36" s="40">
        <v>316</v>
      </c>
      <c r="E36" s="46">
        <f t="shared" si="0"/>
        <v>316</v>
      </c>
      <c r="F36" s="29">
        <f t="shared" si="2"/>
        <v>0.73272151898734172</v>
      </c>
      <c r="G36" s="46">
        <v>84.46</v>
      </c>
      <c r="H36" s="46">
        <f t="shared" si="1"/>
        <v>84.46</v>
      </c>
    </row>
    <row r="37" spans="1:8" x14ac:dyDescent="0.35">
      <c r="A37" s="44" t="s">
        <v>21</v>
      </c>
      <c r="B37" s="34" t="s">
        <v>48</v>
      </c>
      <c r="C37" s="34" t="s">
        <v>1</v>
      </c>
      <c r="D37" s="40">
        <v>0</v>
      </c>
      <c r="E37" s="46">
        <f t="shared" si="0"/>
        <v>0</v>
      </c>
      <c r="F37" s="29"/>
      <c r="G37" s="46">
        <v>0</v>
      </c>
      <c r="H37" s="46">
        <f t="shared" si="1"/>
        <v>0</v>
      </c>
    </row>
    <row r="38" spans="1:8" x14ac:dyDescent="0.35">
      <c r="A38" s="44" t="s">
        <v>22</v>
      </c>
      <c r="B38" s="34" t="s">
        <v>49</v>
      </c>
      <c r="C38" s="34" t="s">
        <v>67</v>
      </c>
      <c r="D38" s="40">
        <v>280</v>
      </c>
      <c r="E38" s="46">
        <f t="shared" si="0"/>
        <v>560</v>
      </c>
      <c r="F38" s="29">
        <f t="shared" si="2"/>
        <v>0.70842857142857141</v>
      </c>
      <c r="G38" s="46">
        <v>81.64</v>
      </c>
      <c r="H38" s="46">
        <f t="shared" si="1"/>
        <v>163.28</v>
      </c>
    </row>
    <row r="39" spans="1:8" x14ac:dyDescent="0.35">
      <c r="A39" s="44" t="s">
        <v>22</v>
      </c>
      <c r="B39" s="34" t="s">
        <v>49</v>
      </c>
      <c r="C39" s="34" t="s">
        <v>1</v>
      </c>
      <c r="D39" s="40">
        <v>0</v>
      </c>
      <c r="E39" s="46">
        <f t="shared" si="0"/>
        <v>0</v>
      </c>
      <c r="F39" s="29"/>
      <c r="G39" s="46">
        <v>0</v>
      </c>
      <c r="H39" s="46">
        <f t="shared" si="1"/>
        <v>0</v>
      </c>
    </row>
    <row r="40" spans="1:8" x14ac:dyDescent="0.35">
      <c r="A40" s="44" t="s">
        <v>21</v>
      </c>
      <c r="B40" s="34" t="s">
        <v>20</v>
      </c>
      <c r="C40" s="34" t="s">
        <v>24</v>
      </c>
      <c r="D40" s="40">
        <v>3099</v>
      </c>
      <c r="E40" s="46">
        <f t="shared" si="0"/>
        <v>3099</v>
      </c>
      <c r="F40" s="29">
        <f t="shared" si="2"/>
        <v>0.55117779929009347</v>
      </c>
      <c r="G40" s="46">
        <v>1390.9</v>
      </c>
      <c r="H40" s="46">
        <f t="shared" si="1"/>
        <v>1390.9</v>
      </c>
    </row>
    <row r="41" spans="1:8" x14ac:dyDescent="0.35">
      <c r="A41" s="44" t="s">
        <v>21</v>
      </c>
      <c r="B41" s="34" t="s">
        <v>20</v>
      </c>
      <c r="C41" s="34" t="s">
        <v>1</v>
      </c>
      <c r="D41" s="40">
        <v>0</v>
      </c>
      <c r="E41" s="46">
        <f t="shared" si="0"/>
        <v>0</v>
      </c>
      <c r="F41" s="29"/>
      <c r="G41" s="46">
        <v>0</v>
      </c>
      <c r="H41" s="46">
        <f t="shared" si="1"/>
        <v>0</v>
      </c>
    </row>
    <row r="42" spans="1:8" x14ac:dyDescent="0.35">
      <c r="A42" s="44" t="s">
        <v>21</v>
      </c>
      <c r="B42" s="34" t="s">
        <v>50</v>
      </c>
      <c r="C42" s="34" t="s">
        <v>68</v>
      </c>
      <c r="D42" s="40">
        <v>999</v>
      </c>
      <c r="E42" s="46">
        <f t="shared" ref="E42" si="3">D42*A42</f>
        <v>999</v>
      </c>
      <c r="F42" s="29">
        <f t="shared" si="2"/>
        <v>0.36507507507507508</v>
      </c>
      <c r="G42" s="46">
        <v>634.29</v>
      </c>
      <c r="H42" s="46">
        <f t="shared" ref="H42" si="4">G42*A42</f>
        <v>634.29</v>
      </c>
    </row>
  </sheetData>
  <phoneticPr fontId="15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0732A0C2C9FE4BA03DB4186A8A8C7C" ma:contentTypeVersion="14" ma:contentTypeDescription="Create a new document." ma:contentTypeScope="" ma:versionID="abc056dde21f500b4ef94d691a98abb3">
  <xsd:schema xmlns:xsd="http://www.w3.org/2001/XMLSchema" xmlns:xs="http://www.w3.org/2001/XMLSchema" xmlns:p="http://schemas.microsoft.com/office/2006/metadata/properties" xmlns:ns3="dd43b195-b1ae-4f76-bb76-fd1607925471" xmlns:ns4="1860e103-c68d-4897-9c67-eac63e69aff9" targetNamespace="http://schemas.microsoft.com/office/2006/metadata/properties" ma:root="true" ma:fieldsID="d92353c512dadee3ca1ad02b58839db6" ns3:_="" ns4:_="">
    <xsd:import namespace="dd43b195-b1ae-4f76-bb76-fd1607925471"/>
    <xsd:import namespace="1860e103-c68d-4897-9c67-eac63e69af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3b195-b1ae-4f76-bb76-fd16079254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0e103-c68d-4897-9c67-eac63e69aff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43b195-b1ae-4f76-bb76-fd1607925471" xsi:nil="true"/>
  </documentManagement>
</p:properties>
</file>

<file path=customXml/itemProps1.xml><?xml version="1.0" encoding="utf-8"?>
<ds:datastoreItem xmlns:ds="http://schemas.openxmlformats.org/officeDocument/2006/customXml" ds:itemID="{63269166-1AFC-4805-86C2-521529B105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C6CA6C-8886-4DCB-8F79-276E3CBD8B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43b195-b1ae-4f76-bb76-fd1607925471"/>
    <ds:schemaRef ds:uri="1860e103-c68d-4897-9c67-eac63e69af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68531D-A532-4A88-8510-C02EAD16A44F}">
  <ds:schemaRefs>
    <ds:schemaRef ds:uri="http://purl.org/dc/elements/1.1/"/>
    <ds:schemaRef ds:uri="1860e103-c68d-4897-9c67-eac63e69aff9"/>
    <ds:schemaRef ds:uri="http://purl.org/dc/terms/"/>
    <ds:schemaRef ds:uri="http://schemas.microsoft.com/office/2006/documentManagement/types"/>
    <ds:schemaRef ds:uri="dd43b195-b1ae-4f76-bb76-fd1607925471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HPE DL360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Gal, Tomer</cp:lastModifiedBy>
  <dcterms:created xsi:type="dcterms:W3CDTF">2022-12-01T09:02:55Z</dcterms:created>
  <dcterms:modified xsi:type="dcterms:W3CDTF">2026-03-09T13:59:01Z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0x010100E30732A0C2C9FE4BA03DB4186A8A8C7C</vt:lpwstr>
  </property>
</Properties>
</file>