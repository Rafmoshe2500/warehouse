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ll-my.sharepoint.com/personal/nissim_peretz_dell_com/Documents/Nissim and Ben/MOD 8200/הזדמנויות/"/>
    </mc:Choice>
  </mc:AlternateContent>
  <xr:revisionPtr revIDLastSave="744" documentId="8_{28D046F2-F614-498C-88E2-BA5143838D03}" xr6:coauthVersionLast="47" xr6:coauthVersionMax="47" xr10:uidLastSave="{8C6616DC-5223-40A7-A728-3008DD55F808}"/>
  <bookViews>
    <workbookView xWindow="-110" yWindow="-110" windowWidth="19420" windowHeight="11500" xr2:uid="{00000000-000D-0000-FFFF-FFFF00000000}"/>
  </bookViews>
  <sheets>
    <sheet name="20 x PowerFlex R660" sheetId="3" r:id="rId1"/>
    <sheet name="2 x 9396T 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3" l="1"/>
  <c r="I24" i="9" l="1"/>
  <c r="I16" i="9"/>
  <c r="H16" i="9" s="1"/>
  <c r="I7" i="9"/>
  <c r="I23" i="9"/>
  <c r="H23" i="9" s="1"/>
  <c r="E23" i="9"/>
  <c r="I22" i="9"/>
  <c r="H22" i="9" s="1"/>
  <c r="E22" i="9"/>
  <c r="I21" i="9"/>
  <c r="H21" i="9" s="1"/>
  <c r="E21" i="9"/>
  <c r="I20" i="9"/>
  <c r="H20" i="9" s="1"/>
  <c r="E20" i="9"/>
  <c r="I19" i="9"/>
  <c r="H19" i="9" s="1"/>
  <c r="E19" i="9"/>
  <c r="I18" i="9"/>
  <c r="H18" i="9"/>
  <c r="E18" i="9"/>
  <c r="I17" i="9"/>
  <c r="H17" i="9"/>
  <c r="E17" i="9"/>
  <c r="E16" i="9"/>
  <c r="I15" i="9"/>
  <c r="H15" i="9" s="1"/>
  <c r="E15" i="9"/>
  <c r="I14" i="9"/>
  <c r="H14" i="9" s="1"/>
  <c r="E14" i="9"/>
  <c r="I13" i="9"/>
  <c r="H13" i="9" s="1"/>
  <c r="E13" i="9"/>
  <c r="I12" i="9"/>
  <c r="H12" i="9" s="1"/>
  <c r="E12" i="9"/>
  <c r="I11" i="9"/>
  <c r="H11" i="9" s="1"/>
  <c r="E11" i="9"/>
  <c r="I10" i="9"/>
  <c r="H10" i="9" s="1"/>
  <c r="E10" i="9"/>
  <c r="I9" i="9"/>
  <c r="H9" i="9" s="1"/>
  <c r="E9" i="9"/>
  <c r="I8" i="9"/>
  <c r="H8" i="9"/>
  <c r="E8" i="9"/>
  <c r="E7" i="9"/>
  <c r="H7" i="9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I61" i="3" l="1"/>
  <c r="H61" i="3" s="1"/>
  <c r="I62" i="3"/>
  <c r="H62" i="3" s="1"/>
  <c r="I63" i="3"/>
  <c r="H63" i="3" s="1"/>
  <c r="I64" i="3"/>
  <c r="H64" i="3" s="1"/>
  <c r="I65" i="3"/>
  <c r="H65" i="3" s="1"/>
  <c r="I8" i="3"/>
  <c r="I9" i="3"/>
  <c r="H9" i="3" s="1"/>
  <c r="I10" i="3"/>
  <c r="H10" i="3" s="1"/>
  <c r="I11" i="3"/>
  <c r="H11" i="3" s="1"/>
  <c r="I12" i="3"/>
  <c r="H12" i="3" s="1"/>
  <c r="I13" i="3"/>
  <c r="H13" i="3" s="1"/>
  <c r="I14" i="3"/>
  <c r="H14" i="3" s="1"/>
  <c r="I15" i="3"/>
  <c r="H15" i="3" s="1"/>
  <c r="I16" i="3"/>
  <c r="H16" i="3" s="1"/>
  <c r="I17" i="3"/>
  <c r="H17" i="3" s="1"/>
  <c r="I18" i="3"/>
  <c r="H18" i="3" s="1"/>
  <c r="I19" i="3"/>
  <c r="H19" i="3" s="1"/>
  <c r="I20" i="3"/>
  <c r="H20" i="3" s="1"/>
  <c r="I21" i="3"/>
  <c r="H21" i="3" s="1"/>
  <c r="I22" i="3"/>
  <c r="H22" i="3" s="1"/>
  <c r="I23" i="3"/>
  <c r="H23" i="3" s="1"/>
  <c r="I24" i="3"/>
  <c r="H24" i="3" s="1"/>
  <c r="I25" i="3"/>
  <c r="H25" i="3" s="1"/>
  <c r="I26" i="3"/>
  <c r="H26" i="3" s="1"/>
  <c r="I27" i="3"/>
  <c r="H27" i="3" s="1"/>
  <c r="I28" i="3"/>
  <c r="H28" i="3" s="1"/>
  <c r="I29" i="3"/>
  <c r="H29" i="3" s="1"/>
  <c r="I30" i="3"/>
  <c r="H30" i="3" s="1"/>
  <c r="I31" i="3"/>
  <c r="H31" i="3" s="1"/>
  <c r="I32" i="3"/>
  <c r="H32" i="3" s="1"/>
  <c r="I33" i="3"/>
  <c r="H33" i="3" s="1"/>
  <c r="I34" i="3"/>
  <c r="H34" i="3" s="1"/>
  <c r="I35" i="3"/>
  <c r="H35" i="3" s="1"/>
  <c r="I36" i="3"/>
  <c r="H36" i="3" s="1"/>
  <c r="I37" i="3"/>
  <c r="H37" i="3" s="1"/>
  <c r="I38" i="3"/>
  <c r="H38" i="3" s="1"/>
  <c r="I39" i="3"/>
  <c r="H39" i="3" s="1"/>
  <c r="I40" i="3"/>
  <c r="H40" i="3" s="1"/>
  <c r="I41" i="3"/>
  <c r="H41" i="3" s="1"/>
  <c r="I42" i="3"/>
  <c r="H42" i="3" s="1"/>
  <c r="I43" i="3"/>
  <c r="H43" i="3" s="1"/>
  <c r="I44" i="3"/>
  <c r="H44" i="3" s="1"/>
  <c r="I45" i="3"/>
  <c r="H45" i="3" s="1"/>
  <c r="I46" i="3"/>
  <c r="H46" i="3" s="1"/>
  <c r="I47" i="3"/>
  <c r="H47" i="3" s="1"/>
  <c r="I48" i="3"/>
  <c r="H48" i="3" s="1"/>
  <c r="I49" i="3"/>
  <c r="H49" i="3" s="1"/>
  <c r="I50" i="3"/>
  <c r="H50" i="3" s="1"/>
  <c r="I51" i="3"/>
  <c r="H51" i="3" s="1"/>
  <c r="I52" i="3"/>
  <c r="H52" i="3" s="1"/>
  <c r="I53" i="3"/>
  <c r="H53" i="3" s="1"/>
  <c r="I54" i="3"/>
  <c r="H54" i="3" s="1"/>
  <c r="I55" i="3"/>
  <c r="H55" i="3" s="1"/>
  <c r="I56" i="3"/>
  <c r="H56" i="3" s="1"/>
  <c r="I57" i="3"/>
  <c r="H57" i="3" s="1"/>
  <c r="I58" i="3"/>
  <c r="H58" i="3" s="1"/>
  <c r="I59" i="3"/>
  <c r="H59" i="3" s="1"/>
  <c r="I66" i="3"/>
  <c r="H66" i="3" s="1"/>
  <c r="I67" i="3"/>
  <c r="H67" i="3" s="1"/>
  <c r="I68" i="3"/>
  <c r="I69" i="3"/>
  <c r="H69" i="3" s="1"/>
  <c r="I60" i="3"/>
  <c r="E60" i="3"/>
  <c r="E61" i="3"/>
  <c r="E62" i="3"/>
  <c r="E63" i="3"/>
  <c r="E64" i="3"/>
  <c r="E65" i="3"/>
  <c r="E66" i="3"/>
  <c r="E67" i="3"/>
  <c r="E68" i="3"/>
  <c r="E69" i="3"/>
  <c r="H68" i="3" l="1"/>
  <c r="H8" i="3"/>
  <c r="I7" i="3"/>
  <c r="H60" i="3"/>
  <c r="H7" i="3" l="1"/>
</calcChain>
</file>

<file path=xl/sharedStrings.xml><?xml version="1.0" encoding="utf-8"?>
<sst xmlns="http://schemas.openxmlformats.org/spreadsheetml/2006/main" count="332" uniqueCount="166">
  <si>
    <t>Discount</t>
  </si>
  <si>
    <t>Hardware</t>
  </si>
  <si>
    <t>Software</t>
  </si>
  <si>
    <t>HW Maintenance</t>
  </si>
  <si>
    <t>SW Maintenance</t>
  </si>
  <si>
    <t>Category</t>
  </si>
  <si>
    <t>Qty</t>
  </si>
  <si>
    <t>Sku</t>
  </si>
  <si>
    <t>Description</t>
  </si>
  <si>
    <t>ProSupport Plus and 4Hr Mission Critical Extension, 24 Month(s)</t>
  </si>
  <si>
    <t>ProSupport Plus and 4Hr Mission Critical Initial, 36 Month(s)</t>
  </si>
  <si>
    <t>Keep Your Component For Enterprise, 60 Month(s)</t>
  </si>
  <si>
    <t>Same Business Day Onsite Diagnosis Service, 60 Month(s)</t>
  </si>
  <si>
    <t>MOD 8200</t>
  </si>
  <si>
    <t>Unit List Price</t>
  </si>
  <si>
    <t>Unit Selling Price</t>
  </si>
  <si>
    <t>1</t>
  </si>
  <si>
    <t>Total</t>
  </si>
  <si>
    <t>210-BDNY</t>
  </si>
  <si>
    <t>PowerFlex - Solution Type</t>
  </si>
  <si>
    <t>142-BBOC</t>
  </si>
  <si>
    <t>PowerFlex Solution ID - appliance</t>
  </si>
  <si>
    <t>487-BJRK</t>
  </si>
  <si>
    <t>ProSupport Plus PowerFlex Sftwr Spt-Maint, 60 Month(s)</t>
  </si>
  <si>
    <t>PowerFlex R660 appliance Base</t>
  </si>
  <si>
    <t>350-BCQV</t>
  </si>
  <si>
    <t>Luggage tag - PowerFlex R660 appliance</t>
  </si>
  <si>
    <t>350-BCPS</t>
  </si>
  <si>
    <t>PowerFlex appliance R660 Storage Only IDM</t>
  </si>
  <si>
    <t>SDPM Setup</t>
  </si>
  <si>
    <t>379-BDCO</t>
  </si>
  <si>
    <t>Additional Processor Selected</t>
  </si>
  <si>
    <t>384-BCUJ</t>
  </si>
  <si>
    <t>4 Very High Performance Fans</t>
  </si>
  <si>
    <t>370-BBRX</t>
  </si>
  <si>
    <t>5600MT/s RDIMMs</t>
  </si>
  <si>
    <t>370-BCFS</t>
  </si>
  <si>
    <t>32GB RDIMM, 5600MT/s, Dual Rank - HCI</t>
  </si>
  <si>
    <t>321-BHSE</t>
  </si>
  <si>
    <t>2.5" Chassis with up to 10 NVMe Drives, SDPM, 2 CPU, No PERC Controller</t>
  </si>
  <si>
    <t>780-BCDO</t>
  </si>
  <si>
    <t>C30, No RAID for NVME chassis</t>
  </si>
  <si>
    <t>405-AACD</t>
  </si>
  <si>
    <t>No Controller</t>
  </si>
  <si>
    <t>400-ABHL</t>
  </si>
  <si>
    <t>No Hard Drive</t>
  </si>
  <si>
    <t>330-BBYY</t>
  </si>
  <si>
    <t>Riser Config 2, Low Profile 3x16 LP Slots (2xLP Gen5 + 1xLP Gen4)</t>
  </si>
  <si>
    <t>540-BDJL</t>
  </si>
  <si>
    <t>Nvidia ConnectX-6 Lx Dual Port 10/25GbE SFP28, No Crypto, OCP NIC 3.0</t>
  </si>
  <si>
    <t>540-BDMK</t>
  </si>
  <si>
    <t>LOM Blank</t>
  </si>
  <si>
    <t>540-BDJO</t>
  </si>
  <si>
    <t>Nvidia ConnectX-6 Lx Dual Port 10/25GbE SFP28, No Crypto, PCIe Low Profile</t>
  </si>
  <si>
    <t>492-BBDI</t>
  </si>
  <si>
    <t>C13 to C14, PDU Style, 12 AMP, 6.5 Feet (2m) Power Cord, North America</t>
  </si>
  <si>
    <t>325-BFJF</t>
  </si>
  <si>
    <t>Bezel - PowerFlex 1U</t>
  </si>
  <si>
    <t>770-BECD</t>
  </si>
  <si>
    <t>ReadyRails Sliding Rails (A15)</t>
  </si>
  <si>
    <t>403-BCRZ</t>
  </si>
  <si>
    <t>BOSS-N1 controller card +  with 2 M.2 960GB (RAID 1)</t>
  </si>
  <si>
    <t>470-AFMG</t>
  </si>
  <si>
    <t>BOSS Cables and Bracket for R660</t>
  </si>
  <si>
    <t>528-CTIC</t>
  </si>
  <si>
    <t>iDRAC9, Enterprise 16G</t>
  </si>
  <si>
    <t>528-COYT</t>
  </si>
  <si>
    <t>Secured Component Verification</t>
  </si>
  <si>
    <t>461-AAIG</t>
  </si>
  <si>
    <t>Trusted Platform Module 2.0 V6</t>
  </si>
  <si>
    <t>407-BBXX</t>
  </si>
  <si>
    <t>Dell Networking, Transceiver, 25GbE SFP28 SR, No FEC, MMF, Duplex LC</t>
  </si>
  <si>
    <t>340-DBXZ</t>
  </si>
  <si>
    <t>PowerEdge R660 Shipping</t>
  </si>
  <si>
    <t>384-BBBL</t>
  </si>
  <si>
    <t>Performance BIOS Settings</t>
  </si>
  <si>
    <t>631-AACK</t>
  </si>
  <si>
    <t>No Systems Documentation, No OpenManage DVD Kit</t>
  </si>
  <si>
    <t>343-BBTR</t>
  </si>
  <si>
    <t>PowerEdge R660 CE Marking, No CCC Marking</t>
  </si>
  <si>
    <t>800-BBDM</t>
  </si>
  <si>
    <t>UEFI BIOS Boot Mode with GPT Partition</t>
  </si>
  <si>
    <t>379-BCQY</t>
  </si>
  <si>
    <t>iDRAC Group Manager, Disabled</t>
  </si>
  <si>
    <t>370-AAIP</t>
  </si>
  <si>
    <t>Performance Optimized</t>
  </si>
  <si>
    <t>611-BBBF</t>
  </si>
  <si>
    <t>No Operating System</t>
  </si>
  <si>
    <t>350-BBXM</t>
  </si>
  <si>
    <t>No Quick Sync</t>
  </si>
  <si>
    <t>379-BETF</t>
  </si>
  <si>
    <t>iDRAC Legacy Password for OCP cards</t>
  </si>
  <si>
    <t>340-DBYC</t>
  </si>
  <si>
    <t>PowerEdge R660 Shipping Material, 10x2.5", 8x2.5" Smart Flow or 16xEDSFF</t>
  </si>
  <si>
    <t>709-BFKJ</t>
  </si>
  <si>
    <t>Basic Next Business Day 36 Months</t>
  </si>
  <si>
    <t>865-BCEG</t>
  </si>
  <si>
    <t>865-BCEH</t>
  </si>
  <si>
    <t>711-BBZY</t>
  </si>
  <si>
    <t>130-BBEV</t>
  </si>
  <si>
    <t>817-BBBP</t>
  </si>
  <si>
    <t>None Required</t>
  </si>
  <si>
    <t>C2G-10ft Cat6a Snagless Shielded (STP) Network Patch Cable - Gray</t>
  </si>
  <si>
    <t>A7293737</t>
  </si>
  <si>
    <t>Dell Networking Cable, OM4 LC/LC  Fiber Cable, (Optics required), 3 Meter, Customer kit</t>
  </si>
  <si>
    <t>470-ACMO</t>
  </si>
  <si>
    <t>Dell Networking OM4 LC - LC Fiber Optic Cable (Optics Required) - 3meter</t>
  </si>
  <si>
    <t>Nissim Peretz</t>
  </si>
  <si>
    <t>2</t>
  </si>
  <si>
    <t>210-BSYY</t>
  </si>
  <si>
    <t>470-BDTL</t>
  </si>
  <si>
    <t>490-BLDQ</t>
  </si>
  <si>
    <t>Software Defined Persistent Memory (SDPM) with one 7450 m.2 drive (22x80) - HCI</t>
  </si>
  <si>
    <t>4</t>
  </si>
  <si>
    <t>770-BDMT</t>
  </si>
  <si>
    <t>Cable Management Arm</t>
  </si>
  <si>
    <t>329-BKBP</t>
  </si>
  <si>
    <t>Motherboard MLK supports ALL CPUs and is required for CPUs 250W and above</t>
  </si>
  <si>
    <t>Total List Price</t>
  </si>
  <si>
    <t>Total Selling Price</t>
  </si>
  <si>
    <t>338-CHTG</t>
  </si>
  <si>
    <t>Intel Xeon Gold 6426Y 2.5G, 16C/32T, 16GT/s, 37.5M Cache, Turbo, HT (185W) DDR5-4800</t>
  </si>
  <si>
    <t>412-ABCJ</t>
  </si>
  <si>
    <t>Standard Heatsink for 2 CPU configuration (CPU less than or equal to 185W)</t>
  </si>
  <si>
    <t>379-BFHS</t>
  </si>
  <si>
    <t>Medium Granularity (MG)</t>
  </si>
  <si>
    <t>400-BQTB</t>
  </si>
  <si>
    <t>15.36TB Enterprise NVMe Read Intensive AG Drive U.2 Gen4 with Carrier - HCI</t>
  </si>
  <si>
    <t>450-BDHY</t>
  </si>
  <si>
    <t>Dual, Redundant(1+1),Hot-Plug Power Supply,1400W MM, Titanium</t>
  </si>
  <si>
    <t>883-BBFL</t>
  </si>
  <si>
    <t>Certified Deployment Partner T2</t>
  </si>
  <si>
    <t>210-BFPI</t>
  </si>
  <si>
    <t>PowerFlex, SWaA Base, Standard Subscription</t>
  </si>
  <si>
    <t>143-BHZG</t>
  </si>
  <si>
    <t>PowerFlex, 1TB, Standard Subscription, 60MO, =CB</t>
  </si>
  <si>
    <t>487-BJYV</t>
  </si>
  <si>
    <t>ProSupport Plus PowerFlex Standard Sub Sftwr Spt-Maint, 60 Month(s)</t>
  </si>
  <si>
    <t>Parts Only Warranty 36 Months</t>
  </si>
  <si>
    <t>883-BBFN</t>
  </si>
  <si>
    <t>No Field Deployment</t>
  </si>
  <si>
    <t>450-AKRS</t>
  </si>
  <si>
    <t>Qty 2 Cabinet Jumper Power Cord 250 VAC 13A C14-C15 Connectors</t>
  </si>
  <si>
    <t>199-BJSW</t>
  </si>
  <si>
    <t>199-BJSX</t>
  </si>
  <si>
    <t>711-BBYE</t>
  </si>
  <si>
    <t>130-BBEZ</t>
  </si>
  <si>
    <t>487-BKQR</t>
  </si>
  <si>
    <t>ProSupport Plus MDS Switch Sub Sftwr Spt-Maint, 60 Month(s)</t>
  </si>
  <si>
    <t>Connectrix MDS Switch Software</t>
  </si>
  <si>
    <t>MDS 9396T</t>
  </si>
  <si>
    <t>210-AZMU</t>
  </si>
  <si>
    <t>Connectrix MDS-9396T 96P/96P, 32Gb FC Switch with Port Side Exhaust airflow (96x32Gb SFPs included)</t>
  </si>
  <si>
    <t>709-BDTX</t>
  </si>
  <si>
    <t>210-BGXK</t>
  </si>
  <si>
    <t>MDS Premier (NDFC, ENT, SI) 5 Year License for 9396T Switches (NX-OS 9.2.2 or higher), Subscription</t>
  </si>
  <si>
    <t>192</t>
  </si>
  <si>
    <t xml:space="preserve">Connectrix MDS-9396T </t>
  </si>
  <si>
    <t>20 x PFA R660 - G1</t>
  </si>
  <si>
    <t>20</t>
  </si>
  <si>
    <t>PowerFlex R660 appliance and custom node - [AMER_POWERFLEX_R660_18156_VP]</t>
  </si>
  <si>
    <t>320</t>
  </si>
  <si>
    <t>200</t>
  </si>
  <si>
    <t>40</t>
  </si>
  <si>
    <t>80</t>
  </si>
  <si>
    <t>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</si>
</sst>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0.0"/>
    <numFmt numFmtId="166" formatCode="#,##0.0000"/>
    <numFmt numFmtId="167" formatCode="_-[$$-409]* #,##0.00_ ;_-[$$-409]* \-#,##0.00\ ;_-[$$-409]* &quot;-&quot;??_ ;_-@_ "/>
    <numFmt numFmtId="168" formatCode="#,##0.00000"/>
    <numFmt numFmtId="170" formatCode="_-[$$-409]* #,##0_ ;_-[$$-409]* \-#,##0\ ;_-[$$-409]* &quot;-&quot;??_ ;_-@_ 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33">
    <xf numFmtId="0" fontId="0" fillId="0" borderId="0" xfId="0"/>
    <xf numFmtId="0" fontId="1" fillId="3" borderId="1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0" xfId="0" applyNumberFormat="1"/>
    <xf numFmtId="0" fontId="2" fillId="5" borderId="3" xfId="0" applyFont="1" applyFill="1" applyBorder="1" applyAlignment="1">
      <alignment horizontal="center"/>
    </xf>
    <xf numFmtId="164" fontId="3" fillId="5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9" fontId="1" fillId="2" borderId="1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4" fontId="0" fillId="0" borderId="0" xfId="0" applyNumberFormat="1"/>
    <xf numFmtId="164" fontId="0" fillId="0" borderId="4" xfId="0" applyNumberFormat="1" applyBorder="1" applyAlignment="1">
      <alignment horizontal="center" vertical="center"/>
    </xf>
    <xf numFmtId="167" fontId="3" fillId="5" borderId="5" xfId="0" applyNumberFormat="1" applyFont="1" applyFill="1" applyBorder="1"/>
    <xf numFmtId="168" fontId="0" fillId="0" borderId="0" xfId="0" applyNumberFormat="1"/>
    <xf numFmtId="167" fontId="0" fillId="0" borderId="0" xfId="0" applyNumberFormat="1"/>
    <xf numFmtId="170" fontId="0" fillId="0" borderId="0" xfId="0" applyNumberFormat="1"/>
    <xf numFmtId="0" fontId="0" fillId="0" borderId="1" xfId="0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237545</xdr:colOff>
      <xdr:row>2</xdr:row>
      <xdr:rowOff>114300</xdr:rowOff>
    </xdr:to>
    <xdr:pic>
      <xdr:nvPicPr>
        <xdr:cNvPr id="3" name="Picture 2" descr="Dell EMC">
          <a:extLst>
            <a:ext uri="{FF2B5EF4-FFF2-40B4-BE49-F238E27FC236}">
              <a16:creationId xmlns:a16="http://schemas.microsoft.com/office/drawing/2014/main" id="{344C316E-53F2-4046-80FA-95C5A8E1C7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25" b="28910"/>
        <a:stretch/>
      </xdr:blipFill>
      <xdr:spPr bwMode="auto">
        <a:xfrm>
          <a:off x="295275" y="28575"/>
          <a:ext cx="1360624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7939</xdr:colOff>
      <xdr:row>0</xdr:row>
      <xdr:rowOff>103306</xdr:rowOff>
    </xdr:from>
    <xdr:ext cx="1364768" cy="325319"/>
    <xdr:pic>
      <xdr:nvPicPr>
        <xdr:cNvPr id="2" name="Picture 1" descr="Dell EMC">
          <a:extLst>
            <a:ext uri="{FF2B5EF4-FFF2-40B4-BE49-F238E27FC236}">
              <a16:creationId xmlns:a16="http://schemas.microsoft.com/office/drawing/2014/main" id="{08117FBC-D3E0-42AF-8C8B-341D4CC1C4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25" b="28910"/>
        <a:stretch/>
      </xdr:blipFill>
      <xdr:spPr bwMode="auto">
        <a:xfrm>
          <a:off x="7939" y="103306"/>
          <a:ext cx="1364768" cy="325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4DD8-C66E-4632-A826-E5B9370A5EE3}">
  <dimension ref="A1:K75"/>
  <sheetViews>
    <sheetView tabSelected="1" zoomScale="80" zoomScaleNormal="80" workbookViewId="0">
      <selection activeCell="J7" sqref="J7"/>
    </sheetView>
  </sheetViews>
  <sheetFormatPr defaultRowHeight="14.5" x14ac:dyDescent="0.35"/>
  <cols>
    <col min="1" max="1" width="16.54296875" customWidth="1"/>
    <col min="2" max="2" width="5.08984375" style="2" bestFit="1" customWidth="1"/>
    <col min="3" max="3" width="16" bestFit="1" customWidth="1"/>
    <col min="4" max="4" width="77.81640625" bestFit="1" customWidth="1"/>
    <col min="5" max="5" width="12.7265625" bestFit="1" customWidth="1"/>
    <col min="6" max="6" width="14.08984375" bestFit="1" customWidth="1"/>
    <col min="7" max="7" width="8.54296875" bestFit="1" customWidth="1"/>
    <col min="8" max="8" width="15.453125" bestFit="1" customWidth="1"/>
    <col min="9" max="9" width="21" bestFit="1" customWidth="1"/>
    <col min="11" max="11" width="14" bestFit="1" customWidth="1"/>
  </cols>
  <sheetData>
    <row r="1" spans="1:11" x14ac:dyDescent="0.35">
      <c r="C1" s="15" t="s">
        <v>107</v>
      </c>
    </row>
    <row r="2" spans="1:11" x14ac:dyDescent="0.35">
      <c r="C2" s="15" t="s">
        <v>13</v>
      </c>
    </row>
    <row r="3" spans="1:11" x14ac:dyDescent="0.35">
      <c r="C3" s="2"/>
    </row>
    <row r="4" spans="1:11" x14ac:dyDescent="0.35">
      <c r="A4" s="2" t="s">
        <v>158</v>
      </c>
      <c r="B4" s="3"/>
      <c r="C4" s="5">
        <v>3000198255608.7002</v>
      </c>
    </row>
    <row r="6" spans="1:11" x14ac:dyDescent="0.35">
      <c r="A6" s="1" t="s">
        <v>5</v>
      </c>
      <c r="B6" s="4" t="s">
        <v>6</v>
      </c>
      <c r="C6" s="4" t="s">
        <v>7</v>
      </c>
      <c r="D6" s="1" t="s">
        <v>8</v>
      </c>
      <c r="E6" s="10" t="s">
        <v>14</v>
      </c>
      <c r="F6" s="4" t="s">
        <v>118</v>
      </c>
      <c r="G6" s="4" t="s">
        <v>0</v>
      </c>
      <c r="H6" s="10" t="s">
        <v>15</v>
      </c>
      <c r="I6" s="4" t="s">
        <v>119</v>
      </c>
    </row>
    <row r="7" spans="1:11" x14ac:dyDescent="0.35">
      <c r="A7" s="32"/>
      <c r="B7" s="8" t="s">
        <v>159</v>
      </c>
      <c r="C7" s="8"/>
      <c r="D7" s="32" t="s">
        <v>160</v>
      </c>
      <c r="E7" s="11">
        <f t="shared" ref="E7:E59" si="0">F7/B7</f>
        <v>782776.84000000008</v>
      </c>
      <c r="F7" s="11">
        <v>15655536.800000001</v>
      </c>
      <c r="G7" s="12">
        <v>0.871</v>
      </c>
      <c r="H7" s="11">
        <f t="shared" ref="H7:H59" si="1">I7/B7</f>
        <v>149026.76683050004</v>
      </c>
      <c r="I7" s="11">
        <f>SUM(I8:I65)</f>
        <v>2980535.3366100006</v>
      </c>
    </row>
    <row r="8" spans="1:11" x14ac:dyDescent="0.35">
      <c r="A8" s="31" t="s">
        <v>1</v>
      </c>
      <c r="B8" s="9" t="s">
        <v>159</v>
      </c>
      <c r="C8" s="9" t="s">
        <v>109</v>
      </c>
      <c r="D8" s="31" t="s">
        <v>24</v>
      </c>
      <c r="E8" s="13">
        <f t="shared" si="0"/>
        <v>9872</v>
      </c>
      <c r="F8" s="13">
        <v>197440</v>
      </c>
      <c r="G8" s="14">
        <v>0.871</v>
      </c>
      <c r="H8" s="13">
        <f t="shared" si="1"/>
        <v>1273.4880000000005</v>
      </c>
      <c r="I8" s="13">
        <f t="shared" ref="I8:I59" si="2">F8-F8*G8</f>
        <v>25469.760000000009</v>
      </c>
    </row>
    <row r="9" spans="1:11" x14ac:dyDescent="0.35">
      <c r="A9" s="31" t="s">
        <v>1</v>
      </c>
      <c r="B9" s="9" t="s">
        <v>159</v>
      </c>
      <c r="C9" s="9" t="s">
        <v>25</v>
      </c>
      <c r="D9" s="31" t="s">
        <v>26</v>
      </c>
      <c r="E9" s="13">
        <f t="shared" si="0"/>
        <v>0</v>
      </c>
      <c r="F9" s="13">
        <v>0</v>
      </c>
      <c r="G9" s="14">
        <v>0.871</v>
      </c>
      <c r="H9" s="13">
        <f t="shared" si="1"/>
        <v>0</v>
      </c>
      <c r="I9" s="13">
        <f t="shared" si="2"/>
        <v>0</v>
      </c>
    </row>
    <row r="10" spans="1:11" x14ac:dyDescent="0.35">
      <c r="A10" s="31" t="s">
        <v>1</v>
      </c>
      <c r="B10" s="9" t="s">
        <v>159</v>
      </c>
      <c r="C10" s="9" t="s">
        <v>27</v>
      </c>
      <c r="D10" s="31" t="s">
        <v>28</v>
      </c>
      <c r="E10" s="13">
        <f t="shared" si="0"/>
        <v>0</v>
      </c>
      <c r="F10" s="13">
        <v>0</v>
      </c>
      <c r="G10" s="14">
        <v>0.871</v>
      </c>
      <c r="H10" s="13">
        <f t="shared" si="1"/>
        <v>0</v>
      </c>
      <c r="I10" s="13">
        <f t="shared" si="2"/>
        <v>0</v>
      </c>
    </row>
    <row r="11" spans="1:11" x14ac:dyDescent="0.35">
      <c r="A11" s="31" t="s">
        <v>1</v>
      </c>
      <c r="B11" s="9" t="s">
        <v>159</v>
      </c>
      <c r="C11" s="9" t="s">
        <v>110</v>
      </c>
      <c r="D11" s="31" t="s">
        <v>29</v>
      </c>
      <c r="E11" s="13">
        <f t="shared" si="0"/>
        <v>0</v>
      </c>
      <c r="F11" s="13">
        <v>0</v>
      </c>
      <c r="G11" s="14">
        <v>0.871</v>
      </c>
      <c r="H11" s="13">
        <f t="shared" si="1"/>
        <v>0</v>
      </c>
      <c r="I11" s="13">
        <f t="shared" si="2"/>
        <v>0</v>
      </c>
    </row>
    <row r="12" spans="1:11" x14ac:dyDescent="0.35">
      <c r="A12" s="31" t="s">
        <v>1</v>
      </c>
      <c r="B12" s="9" t="s">
        <v>159</v>
      </c>
      <c r="C12" s="9" t="s">
        <v>120</v>
      </c>
      <c r="D12" s="31" t="s">
        <v>121</v>
      </c>
      <c r="E12" s="13">
        <f t="shared" si="0"/>
        <v>4516</v>
      </c>
      <c r="F12" s="13">
        <v>90320</v>
      </c>
      <c r="G12" s="14">
        <v>0.871</v>
      </c>
      <c r="H12" s="13">
        <f t="shared" si="1"/>
        <v>582.56399999999996</v>
      </c>
      <c r="I12" s="13">
        <f t="shared" si="2"/>
        <v>11651.279999999999</v>
      </c>
    </row>
    <row r="13" spans="1:11" x14ac:dyDescent="0.35">
      <c r="A13" s="31" t="s">
        <v>1</v>
      </c>
      <c r="B13" s="9" t="s">
        <v>159</v>
      </c>
      <c r="C13" s="9" t="s">
        <v>120</v>
      </c>
      <c r="D13" s="31" t="s">
        <v>121</v>
      </c>
      <c r="E13" s="13">
        <f t="shared" si="0"/>
        <v>4516</v>
      </c>
      <c r="F13" s="13">
        <v>90320</v>
      </c>
      <c r="G13" s="14">
        <v>0.871</v>
      </c>
      <c r="H13" s="13">
        <f t="shared" si="1"/>
        <v>582.56399999999996</v>
      </c>
      <c r="I13" s="13">
        <f t="shared" si="2"/>
        <v>11651.279999999999</v>
      </c>
      <c r="K13" s="30"/>
    </row>
    <row r="14" spans="1:11" x14ac:dyDescent="0.35">
      <c r="A14" s="31" t="s">
        <v>1</v>
      </c>
      <c r="B14" s="9" t="s">
        <v>159</v>
      </c>
      <c r="C14" s="9" t="s">
        <v>30</v>
      </c>
      <c r="D14" s="31" t="s">
        <v>31</v>
      </c>
      <c r="E14" s="13">
        <f t="shared" si="0"/>
        <v>0</v>
      </c>
      <c r="F14" s="13">
        <v>0</v>
      </c>
      <c r="G14" s="14">
        <v>0.871</v>
      </c>
      <c r="H14" s="13">
        <f t="shared" si="1"/>
        <v>0</v>
      </c>
      <c r="I14" s="13">
        <f t="shared" si="2"/>
        <v>0</v>
      </c>
      <c r="K14" s="29"/>
    </row>
    <row r="15" spans="1:11" x14ac:dyDescent="0.35">
      <c r="A15" s="31" t="s">
        <v>1</v>
      </c>
      <c r="B15" s="9" t="s">
        <v>159</v>
      </c>
      <c r="C15" s="9" t="s">
        <v>122</v>
      </c>
      <c r="D15" s="31" t="s">
        <v>123</v>
      </c>
      <c r="E15" s="13">
        <f t="shared" si="0"/>
        <v>142.35</v>
      </c>
      <c r="F15" s="13">
        <v>2847</v>
      </c>
      <c r="G15" s="14">
        <v>0.871</v>
      </c>
      <c r="H15" s="13">
        <f t="shared" si="1"/>
        <v>18.363149999999997</v>
      </c>
      <c r="I15" s="13">
        <f t="shared" si="2"/>
        <v>367.26299999999992</v>
      </c>
    </row>
    <row r="16" spans="1:11" x14ac:dyDescent="0.35">
      <c r="A16" s="31" t="s">
        <v>1</v>
      </c>
      <c r="B16" s="9" t="s">
        <v>159</v>
      </c>
      <c r="C16" s="9" t="s">
        <v>32</v>
      </c>
      <c r="D16" s="31" t="s">
        <v>33</v>
      </c>
      <c r="E16" s="13">
        <f t="shared" si="0"/>
        <v>299</v>
      </c>
      <c r="F16" s="13">
        <v>5980</v>
      </c>
      <c r="G16" s="14">
        <v>0.871</v>
      </c>
      <c r="H16" s="13">
        <f t="shared" si="1"/>
        <v>38.571000000000005</v>
      </c>
      <c r="I16" s="13">
        <f t="shared" si="2"/>
        <v>771.42000000000007</v>
      </c>
      <c r="K16" s="29"/>
    </row>
    <row r="17" spans="1:11" x14ac:dyDescent="0.35">
      <c r="A17" s="31" t="s">
        <v>1</v>
      </c>
      <c r="B17" s="9" t="s">
        <v>159</v>
      </c>
      <c r="C17" s="9" t="s">
        <v>34</v>
      </c>
      <c r="D17" s="31" t="s">
        <v>35</v>
      </c>
      <c r="E17" s="13">
        <f t="shared" si="0"/>
        <v>0</v>
      </c>
      <c r="F17" s="13">
        <v>0</v>
      </c>
      <c r="G17" s="14">
        <v>0.871</v>
      </c>
      <c r="H17" s="13">
        <f t="shared" si="1"/>
        <v>0</v>
      </c>
      <c r="I17" s="13">
        <f t="shared" si="2"/>
        <v>0</v>
      </c>
    </row>
    <row r="18" spans="1:11" x14ac:dyDescent="0.35">
      <c r="A18" s="31" t="s">
        <v>1</v>
      </c>
      <c r="B18" s="9" t="s">
        <v>161</v>
      </c>
      <c r="C18" s="9" t="s">
        <v>36</v>
      </c>
      <c r="D18" s="31" t="s">
        <v>37</v>
      </c>
      <c r="E18" s="13">
        <f t="shared" si="0"/>
        <v>4288</v>
      </c>
      <c r="F18" s="13">
        <v>1372160</v>
      </c>
      <c r="G18" s="14">
        <v>0.871</v>
      </c>
      <c r="H18" s="13">
        <f t="shared" si="1"/>
        <v>553.1519999999997</v>
      </c>
      <c r="I18" s="13">
        <f t="shared" si="2"/>
        <v>177008.6399999999</v>
      </c>
      <c r="K18" s="29"/>
    </row>
    <row r="19" spans="1:11" x14ac:dyDescent="0.35">
      <c r="A19" s="31" t="s">
        <v>1</v>
      </c>
      <c r="B19" s="9" t="s">
        <v>159</v>
      </c>
      <c r="C19" s="9" t="s">
        <v>38</v>
      </c>
      <c r="D19" s="31" t="s">
        <v>39</v>
      </c>
      <c r="E19" s="13">
        <f t="shared" si="0"/>
        <v>1493</v>
      </c>
      <c r="F19" s="13">
        <v>29860</v>
      </c>
      <c r="G19" s="14">
        <v>0.871</v>
      </c>
      <c r="H19" s="13">
        <f t="shared" si="1"/>
        <v>192.59699999999992</v>
      </c>
      <c r="I19" s="13">
        <f t="shared" si="2"/>
        <v>3851.9399999999987</v>
      </c>
    </row>
    <row r="20" spans="1:11" x14ac:dyDescent="0.35">
      <c r="A20" s="31" t="s">
        <v>1</v>
      </c>
      <c r="B20" s="9" t="s">
        <v>159</v>
      </c>
      <c r="C20" s="9" t="s">
        <v>40</v>
      </c>
      <c r="D20" s="31" t="s">
        <v>41</v>
      </c>
      <c r="E20" s="13">
        <f t="shared" si="0"/>
        <v>0</v>
      </c>
      <c r="F20" s="13">
        <v>0</v>
      </c>
      <c r="G20" s="14">
        <v>0.871</v>
      </c>
      <c r="H20" s="13">
        <f t="shared" si="1"/>
        <v>0</v>
      </c>
      <c r="I20" s="13">
        <f t="shared" si="2"/>
        <v>0</v>
      </c>
    </row>
    <row r="21" spans="1:11" x14ac:dyDescent="0.35">
      <c r="A21" s="31" t="s">
        <v>1</v>
      </c>
      <c r="B21" s="9" t="s">
        <v>159</v>
      </c>
      <c r="C21" s="9" t="s">
        <v>42</v>
      </c>
      <c r="D21" s="31" t="s">
        <v>43</v>
      </c>
      <c r="E21" s="13">
        <f t="shared" si="0"/>
        <v>0</v>
      </c>
      <c r="F21" s="13">
        <v>0</v>
      </c>
      <c r="G21" s="14">
        <v>0.871</v>
      </c>
      <c r="H21" s="13">
        <f t="shared" si="1"/>
        <v>0</v>
      </c>
      <c r="I21" s="13">
        <f t="shared" si="2"/>
        <v>0</v>
      </c>
    </row>
    <row r="22" spans="1:11" x14ac:dyDescent="0.35">
      <c r="A22" s="31" t="s">
        <v>1</v>
      </c>
      <c r="B22" s="9" t="s">
        <v>159</v>
      </c>
      <c r="C22" s="9" t="s">
        <v>111</v>
      </c>
      <c r="D22" s="31" t="s">
        <v>112</v>
      </c>
      <c r="E22" s="13">
        <f t="shared" si="0"/>
        <v>7252</v>
      </c>
      <c r="F22" s="13">
        <v>145040</v>
      </c>
      <c r="G22" s="14">
        <v>0.871</v>
      </c>
      <c r="H22" s="13">
        <f t="shared" si="1"/>
        <v>935.50800000000015</v>
      </c>
      <c r="I22" s="13">
        <f t="shared" si="2"/>
        <v>18710.160000000003</v>
      </c>
    </row>
    <row r="23" spans="1:11" x14ac:dyDescent="0.35">
      <c r="A23" s="31" t="s">
        <v>1</v>
      </c>
      <c r="B23" s="9" t="s">
        <v>159</v>
      </c>
      <c r="C23" s="9" t="s">
        <v>124</v>
      </c>
      <c r="D23" s="31" t="s">
        <v>125</v>
      </c>
      <c r="E23" s="13">
        <f t="shared" si="0"/>
        <v>0</v>
      </c>
      <c r="F23" s="13">
        <v>0</v>
      </c>
      <c r="G23" s="14">
        <v>0.871</v>
      </c>
      <c r="H23" s="13">
        <f t="shared" si="1"/>
        <v>0</v>
      </c>
      <c r="I23" s="13">
        <f t="shared" si="2"/>
        <v>0</v>
      </c>
    </row>
    <row r="24" spans="1:11" x14ac:dyDescent="0.35">
      <c r="A24" s="31" t="s">
        <v>1</v>
      </c>
      <c r="B24" s="9" t="s">
        <v>159</v>
      </c>
      <c r="C24" s="9" t="s">
        <v>44</v>
      </c>
      <c r="D24" s="31" t="s">
        <v>45</v>
      </c>
      <c r="E24" s="13">
        <f t="shared" si="0"/>
        <v>0</v>
      </c>
      <c r="F24" s="13">
        <v>0</v>
      </c>
      <c r="G24" s="14">
        <v>0.871</v>
      </c>
      <c r="H24" s="13">
        <f t="shared" si="1"/>
        <v>0</v>
      </c>
      <c r="I24" s="13">
        <f t="shared" si="2"/>
        <v>0</v>
      </c>
    </row>
    <row r="25" spans="1:11" x14ac:dyDescent="0.35">
      <c r="A25" s="31" t="s">
        <v>1</v>
      </c>
      <c r="B25" s="9" t="s">
        <v>162</v>
      </c>
      <c r="C25" s="9" t="s">
        <v>126</v>
      </c>
      <c r="D25" s="31" t="s">
        <v>127</v>
      </c>
      <c r="E25" s="13">
        <f t="shared" si="0"/>
        <v>41583</v>
      </c>
      <c r="F25" s="13">
        <v>8316600</v>
      </c>
      <c r="G25" s="14">
        <v>0.871</v>
      </c>
      <c r="H25" s="13">
        <f t="shared" si="1"/>
        <v>5364.2070000000022</v>
      </c>
      <c r="I25" s="13">
        <f t="shared" si="2"/>
        <v>1072841.4000000004</v>
      </c>
    </row>
    <row r="26" spans="1:11" x14ac:dyDescent="0.35">
      <c r="A26" s="31" t="s">
        <v>1</v>
      </c>
      <c r="B26" s="9" t="s">
        <v>159</v>
      </c>
      <c r="C26" s="9" t="s">
        <v>46</v>
      </c>
      <c r="D26" s="31" t="s">
        <v>47</v>
      </c>
      <c r="E26" s="13">
        <f t="shared" si="0"/>
        <v>960.07999999999993</v>
      </c>
      <c r="F26" s="13">
        <v>19201.599999999999</v>
      </c>
      <c r="G26" s="14">
        <v>0.871</v>
      </c>
      <c r="H26" s="13">
        <f t="shared" si="1"/>
        <v>123.85031999999993</v>
      </c>
      <c r="I26" s="13">
        <f t="shared" si="2"/>
        <v>2477.0063999999984</v>
      </c>
    </row>
    <row r="27" spans="1:11" x14ac:dyDescent="0.35">
      <c r="A27" s="31" t="s">
        <v>1</v>
      </c>
      <c r="B27" s="9" t="s">
        <v>159</v>
      </c>
      <c r="C27" s="9" t="s">
        <v>48</v>
      </c>
      <c r="D27" s="31" t="s">
        <v>49</v>
      </c>
      <c r="E27" s="13">
        <f t="shared" si="0"/>
        <v>709</v>
      </c>
      <c r="F27" s="13">
        <v>14180</v>
      </c>
      <c r="G27" s="14">
        <v>0.871</v>
      </c>
      <c r="H27" s="13">
        <f t="shared" si="1"/>
        <v>91.46099999999997</v>
      </c>
      <c r="I27" s="13">
        <f t="shared" si="2"/>
        <v>1829.2199999999993</v>
      </c>
    </row>
    <row r="28" spans="1:11" x14ac:dyDescent="0.35">
      <c r="A28" s="31" t="s">
        <v>1</v>
      </c>
      <c r="B28" s="9" t="s">
        <v>159</v>
      </c>
      <c r="C28" s="9" t="s">
        <v>50</v>
      </c>
      <c r="D28" s="31" t="s">
        <v>51</v>
      </c>
      <c r="E28" s="13">
        <f t="shared" si="0"/>
        <v>0</v>
      </c>
      <c r="F28" s="13">
        <v>0</v>
      </c>
      <c r="G28" s="14">
        <v>0.871</v>
      </c>
      <c r="H28" s="13">
        <f t="shared" si="1"/>
        <v>0</v>
      </c>
      <c r="I28" s="13">
        <f t="shared" si="2"/>
        <v>0</v>
      </c>
    </row>
    <row r="29" spans="1:11" x14ac:dyDescent="0.35">
      <c r="A29" s="31" t="s">
        <v>1</v>
      </c>
      <c r="B29" s="9" t="s">
        <v>159</v>
      </c>
      <c r="C29" s="9" t="s">
        <v>52</v>
      </c>
      <c r="D29" s="31" t="s">
        <v>53</v>
      </c>
      <c r="E29" s="13">
        <f t="shared" si="0"/>
        <v>709</v>
      </c>
      <c r="F29" s="13">
        <v>14180</v>
      </c>
      <c r="G29" s="14">
        <v>0.871</v>
      </c>
      <c r="H29" s="13">
        <f t="shared" si="1"/>
        <v>91.46099999999997</v>
      </c>
      <c r="I29" s="13">
        <f t="shared" si="2"/>
        <v>1829.2199999999993</v>
      </c>
    </row>
    <row r="30" spans="1:11" x14ac:dyDescent="0.35">
      <c r="A30" s="31" t="s">
        <v>1</v>
      </c>
      <c r="B30" s="9" t="s">
        <v>159</v>
      </c>
      <c r="C30" s="9" t="s">
        <v>128</v>
      </c>
      <c r="D30" s="31" t="s">
        <v>129</v>
      </c>
      <c r="E30" s="13">
        <f t="shared" si="0"/>
        <v>1878</v>
      </c>
      <c r="F30" s="13">
        <v>37560</v>
      </c>
      <c r="G30" s="14">
        <v>0.871</v>
      </c>
      <c r="H30" s="13">
        <f t="shared" si="1"/>
        <v>242.26200000000009</v>
      </c>
      <c r="I30" s="13">
        <f t="shared" si="2"/>
        <v>4845.2400000000016</v>
      </c>
    </row>
    <row r="31" spans="1:11" x14ac:dyDescent="0.35">
      <c r="A31" s="31" t="s">
        <v>1</v>
      </c>
      <c r="B31" s="9" t="s">
        <v>163</v>
      </c>
      <c r="C31" s="9" t="s">
        <v>54</v>
      </c>
      <c r="D31" s="31" t="s">
        <v>55</v>
      </c>
      <c r="E31" s="13">
        <f t="shared" si="0"/>
        <v>12</v>
      </c>
      <c r="F31" s="13">
        <v>480</v>
      </c>
      <c r="G31" s="14">
        <v>0.871</v>
      </c>
      <c r="H31" s="13">
        <f t="shared" si="1"/>
        <v>1.5480000000000005</v>
      </c>
      <c r="I31" s="13">
        <f t="shared" si="2"/>
        <v>61.920000000000016</v>
      </c>
    </row>
    <row r="32" spans="1:11" x14ac:dyDescent="0.35">
      <c r="A32" s="31" t="s">
        <v>1</v>
      </c>
      <c r="B32" s="9" t="s">
        <v>159</v>
      </c>
      <c r="C32" s="9" t="s">
        <v>56</v>
      </c>
      <c r="D32" s="31" t="s">
        <v>57</v>
      </c>
      <c r="E32" s="13">
        <f t="shared" si="0"/>
        <v>0</v>
      </c>
      <c r="F32" s="13">
        <v>0</v>
      </c>
      <c r="G32" s="14">
        <v>0.871</v>
      </c>
      <c r="H32" s="13">
        <f t="shared" si="1"/>
        <v>0</v>
      </c>
      <c r="I32" s="13">
        <f t="shared" si="2"/>
        <v>0</v>
      </c>
    </row>
    <row r="33" spans="1:9" x14ac:dyDescent="0.35">
      <c r="A33" s="31" t="s">
        <v>1</v>
      </c>
      <c r="B33" s="9" t="s">
        <v>159</v>
      </c>
      <c r="C33" s="9" t="s">
        <v>114</v>
      </c>
      <c r="D33" s="31" t="s">
        <v>115</v>
      </c>
      <c r="E33" s="13">
        <f t="shared" si="0"/>
        <v>66.66</v>
      </c>
      <c r="F33" s="13">
        <v>1333.2</v>
      </c>
      <c r="G33" s="14">
        <v>0.871</v>
      </c>
      <c r="H33" s="13">
        <f t="shared" si="1"/>
        <v>8.5991400000000002</v>
      </c>
      <c r="I33" s="13">
        <f t="shared" si="2"/>
        <v>171.9828</v>
      </c>
    </row>
    <row r="34" spans="1:9" x14ac:dyDescent="0.35">
      <c r="A34" s="31" t="s">
        <v>1</v>
      </c>
      <c r="B34" s="9" t="s">
        <v>159</v>
      </c>
      <c r="C34" s="9" t="s">
        <v>58</v>
      </c>
      <c r="D34" s="31" t="s">
        <v>59</v>
      </c>
      <c r="E34" s="13">
        <f t="shared" si="0"/>
        <v>120.85</v>
      </c>
      <c r="F34" s="13">
        <v>2417</v>
      </c>
      <c r="G34" s="14">
        <v>0.871</v>
      </c>
      <c r="H34" s="13">
        <f t="shared" si="1"/>
        <v>15.589650000000006</v>
      </c>
      <c r="I34" s="13">
        <f t="shared" si="2"/>
        <v>311.79300000000012</v>
      </c>
    </row>
    <row r="35" spans="1:9" x14ac:dyDescent="0.35">
      <c r="A35" s="31" t="s">
        <v>1</v>
      </c>
      <c r="B35" s="9" t="s">
        <v>159</v>
      </c>
      <c r="C35" s="9" t="s">
        <v>60</v>
      </c>
      <c r="D35" s="31" t="s">
        <v>61</v>
      </c>
      <c r="E35" s="13">
        <f t="shared" si="0"/>
        <v>6177.6</v>
      </c>
      <c r="F35" s="13">
        <v>123552</v>
      </c>
      <c r="G35" s="14">
        <v>0.871</v>
      </c>
      <c r="H35" s="13">
        <f t="shared" si="1"/>
        <v>796.91039999999998</v>
      </c>
      <c r="I35" s="13">
        <f t="shared" si="2"/>
        <v>15938.207999999999</v>
      </c>
    </row>
    <row r="36" spans="1:9" x14ac:dyDescent="0.35">
      <c r="A36" s="31" t="s">
        <v>1</v>
      </c>
      <c r="B36" s="9" t="s">
        <v>159</v>
      </c>
      <c r="C36" s="9" t="s">
        <v>62</v>
      </c>
      <c r="D36" s="31" t="s">
        <v>63</v>
      </c>
      <c r="E36" s="13">
        <f t="shared" si="0"/>
        <v>50</v>
      </c>
      <c r="F36" s="13">
        <v>1000</v>
      </c>
      <c r="G36" s="14">
        <v>0.871</v>
      </c>
      <c r="H36" s="13">
        <f t="shared" si="1"/>
        <v>6.45</v>
      </c>
      <c r="I36" s="13">
        <f t="shared" si="2"/>
        <v>129</v>
      </c>
    </row>
    <row r="37" spans="1:9" x14ac:dyDescent="0.35">
      <c r="A37" s="31" t="s">
        <v>1</v>
      </c>
      <c r="B37" s="9" t="s">
        <v>159</v>
      </c>
      <c r="C37" s="9" t="s">
        <v>64</v>
      </c>
      <c r="D37" s="31" t="s">
        <v>65</v>
      </c>
      <c r="E37" s="13">
        <f t="shared" si="0"/>
        <v>831</v>
      </c>
      <c r="F37" s="13">
        <v>16620</v>
      </c>
      <c r="G37" s="14">
        <v>0.871</v>
      </c>
      <c r="H37" s="13">
        <f t="shared" si="1"/>
        <v>107.19899999999998</v>
      </c>
      <c r="I37" s="13">
        <f t="shared" si="2"/>
        <v>2143.9799999999996</v>
      </c>
    </row>
    <row r="38" spans="1:9" x14ac:dyDescent="0.35">
      <c r="A38" s="31" t="s">
        <v>2</v>
      </c>
      <c r="B38" s="9" t="s">
        <v>159</v>
      </c>
      <c r="C38" s="9" t="s">
        <v>66</v>
      </c>
      <c r="D38" s="31" t="s">
        <v>67</v>
      </c>
      <c r="E38" s="13">
        <f t="shared" si="0"/>
        <v>99</v>
      </c>
      <c r="F38" s="13">
        <v>1980</v>
      </c>
      <c r="G38" s="14">
        <v>0.871</v>
      </c>
      <c r="H38" s="13">
        <f t="shared" si="1"/>
        <v>12.771000000000004</v>
      </c>
      <c r="I38" s="13">
        <f t="shared" si="2"/>
        <v>255.42000000000007</v>
      </c>
    </row>
    <row r="39" spans="1:9" x14ac:dyDescent="0.35">
      <c r="A39" s="31" t="s">
        <v>1</v>
      </c>
      <c r="B39" s="9" t="s">
        <v>159</v>
      </c>
      <c r="C39" s="9" t="s">
        <v>68</v>
      </c>
      <c r="D39" s="31" t="s">
        <v>69</v>
      </c>
      <c r="E39" s="13">
        <f t="shared" si="0"/>
        <v>99</v>
      </c>
      <c r="F39" s="13">
        <v>1980</v>
      </c>
      <c r="G39" s="14">
        <v>0.871</v>
      </c>
      <c r="H39" s="13">
        <f t="shared" si="1"/>
        <v>12.771000000000004</v>
      </c>
      <c r="I39" s="13">
        <f t="shared" si="2"/>
        <v>255.42000000000007</v>
      </c>
    </row>
    <row r="40" spans="1:9" x14ac:dyDescent="0.35">
      <c r="A40" s="31" t="s">
        <v>1</v>
      </c>
      <c r="B40" s="9" t="s">
        <v>164</v>
      </c>
      <c r="C40" s="9" t="s">
        <v>70</v>
      </c>
      <c r="D40" s="31" t="s">
        <v>71</v>
      </c>
      <c r="E40" s="13">
        <f t="shared" si="0"/>
        <v>740</v>
      </c>
      <c r="F40" s="13">
        <v>59200</v>
      </c>
      <c r="G40" s="14">
        <v>0.871</v>
      </c>
      <c r="H40" s="13">
        <f t="shared" si="1"/>
        <v>95.460000000000036</v>
      </c>
      <c r="I40" s="13">
        <f t="shared" si="2"/>
        <v>7636.8000000000029</v>
      </c>
    </row>
    <row r="41" spans="1:9" x14ac:dyDescent="0.35">
      <c r="A41" s="31" t="s">
        <v>1</v>
      </c>
      <c r="B41" s="9" t="s">
        <v>159</v>
      </c>
      <c r="C41" s="9" t="s">
        <v>72</v>
      </c>
      <c r="D41" s="31" t="s">
        <v>73</v>
      </c>
      <c r="E41" s="13">
        <f t="shared" si="0"/>
        <v>49</v>
      </c>
      <c r="F41" s="13">
        <v>980</v>
      </c>
      <c r="G41" s="14">
        <v>0.871</v>
      </c>
      <c r="H41" s="13">
        <f t="shared" si="1"/>
        <v>6.320999999999998</v>
      </c>
      <c r="I41" s="13">
        <f t="shared" si="2"/>
        <v>126.41999999999996</v>
      </c>
    </row>
    <row r="42" spans="1:9" x14ac:dyDescent="0.35">
      <c r="A42" s="31" t="s">
        <v>1</v>
      </c>
      <c r="B42" s="9" t="s">
        <v>159</v>
      </c>
      <c r="C42" s="9" t="s">
        <v>74</v>
      </c>
      <c r="D42" s="31" t="s">
        <v>75</v>
      </c>
      <c r="E42" s="13">
        <f t="shared" si="0"/>
        <v>0</v>
      </c>
      <c r="F42" s="13">
        <v>0</v>
      </c>
      <c r="G42" s="14">
        <v>0.871</v>
      </c>
      <c r="H42" s="13">
        <f t="shared" si="1"/>
        <v>0</v>
      </c>
      <c r="I42" s="13">
        <f t="shared" si="2"/>
        <v>0</v>
      </c>
    </row>
    <row r="43" spans="1:9" x14ac:dyDescent="0.35">
      <c r="A43" s="31" t="s">
        <v>2</v>
      </c>
      <c r="B43" s="9" t="s">
        <v>159</v>
      </c>
      <c r="C43" s="9" t="s">
        <v>76</v>
      </c>
      <c r="D43" s="31" t="s">
        <v>77</v>
      </c>
      <c r="E43" s="13">
        <f t="shared" si="0"/>
        <v>0</v>
      </c>
      <c r="F43" s="13">
        <v>0</v>
      </c>
      <c r="G43" s="14">
        <v>0.871</v>
      </c>
      <c r="H43" s="13">
        <f t="shared" si="1"/>
        <v>0</v>
      </c>
      <c r="I43" s="13">
        <f t="shared" si="2"/>
        <v>0</v>
      </c>
    </row>
    <row r="44" spans="1:9" x14ac:dyDescent="0.35">
      <c r="A44" s="31" t="s">
        <v>1</v>
      </c>
      <c r="B44" s="9" t="s">
        <v>159</v>
      </c>
      <c r="C44" s="9" t="s">
        <v>78</v>
      </c>
      <c r="D44" s="31" t="s">
        <v>79</v>
      </c>
      <c r="E44" s="13">
        <f t="shared" si="0"/>
        <v>0</v>
      </c>
      <c r="F44" s="13">
        <v>0</v>
      </c>
      <c r="G44" s="14">
        <v>0.871</v>
      </c>
      <c r="H44" s="13">
        <f t="shared" si="1"/>
        <v>0</v>
      </c>
      <c r="I44" s="13">
        <f t="shared" si="2"/>
        <v>0</v>
      </c>
    </row>
    <row r="45" spans="1:9" x14ac:dyDescent="0.35">
      <c r="A45" s="31" t="s">
        <v>2</v>
      </c>
      <c r="B45" s="9" t="s">
        <v>159</v>
      </c>
      <c r="C45" s="9" t="s">
        <v>80</v>
      </c>
      <c r="D45" s="31" t="s">
        <v>81</v>
      </c>
      <c r="E45" s="13">
        <f t="shared" si="0"/>
        <v>0</v>
      </c>
      <c r="F45" s="13">
        <v>0</v>
      </c>
      <c r="G45" s="14">
        <v>0.871</v>
      </c>
      <c r="H45" s="13">
        <f t="shared" si="1"/>
        <v>0</v>
      </c>
      <c r="I45" s="13">
        <f t="shared" si="2"/>
        <v>0</v>
      </c>
    </row>
    <row r="46" spans="1:9" x14ac:dyDescent="0.35">
      <c r="A46" s="31" t="s">
        <v>1</v>
      </c>
      <c r="B46" s="9" t="s">
        <v>159</v>
      </c>
      <c r="C46" s="9" t="s">
        <v>82</v>
      </c>
      <c r="D46" s="31" t="s">
        <v>83</v>
      </c>
      <c r="E46" s="13">
        <f t="shared" si="0"/>
        <v>0</v>
      </c>
      <c r="F46" s="13">
        <v>0</v>
      </c>
      <c r="G46" s="14">
        <v>0.871</v>
      </c>
      <c r="H46" s="13">
        <f t="shared" si="1"/>
        <v>0</v>
      </c>
      <c r="I46" s="13">
        <f t="shared" si="2"/>
        <v>0</v>
      </c>
    </row>
    <row r="47" spans="1:9" x14ac:dyDescent="0.35">
      <c r="A47" s="31" t="s">
        <v>1</v>
      </c>
      <c r="B47" s="9" t="s">
        <v>159</v>
      </c>
      <c r="C47" s="9" t="s">
        <v>84</v>
      </c>
      <c r="D47" s="31" t="s">
        <v>85</v>
      </c>
      <c r="E47" s="13">
        <f t="shared" si="0"/>
        <v>0</v>
      </c>
      <c r="F47" s="13">
        <v>0</v>
      </c>
      <c r="G47" s="14">
        <v>0.871</v>
      </c>
      <c r="H47" s="13">
        <f t="shared" si="1"/>
        <v>0</v>
      </c>
      <c r="I47" s="13">
        <f t="shared" si="2"/>
        <v>0</v>
      </c>
    </row>
    <row r="48" spans="1:9" x14ac:dyDescent="0.35">
      <c r="A48" s="31" t="s">
        <v>1</v>
      </c>
      <c r="B48" s="9" t="s">
        <v>159</v>
      </c>
      <c r="C48" s="9" t="s">
        <v>116</v>
      </c>
      <c r="D48" s="31" t="s">
        <v>117</v>
      </c>
      <c r="E48" s="13">
        <f t="shared" si="0"/>
        <v>450</v>
      </c>
      <c r="F48" s="13">
        <v>9000</v>
      </c>
      <c r="G48" s="14">
        <v>0.871</v>
      </c>
      <c r="H48" s="13">
        <f t="shared" si="1"/>
        <v>58.05</v>
      </c>
      <c r="I48" s="13">
        <f t="shared" si="2"/>
        <v>1161</v>
      </c>
    </row>
    <row r="49" spans="1:9" x14ac:dyDescent="0.35">
      <c r="A49" s="31" t="s">
        <v>2</v>
      </c>
      <c r="B49" s="9" t="s">
        <v>159</v>
      </c>
      <c r="C49" s="9" t="s">
        <v>86</v>
      </c>
      <c r="D49" s="31" t="s">
        <v>87</v>
      </c>
      <c r="E49" s="13">
        <f t="shared" si="0"/>
        <v>0</v>
      </c>
      <c r="F49" s="13">
        <v>0</v>
      </c>
      <c r="G49" s="14">
        <v>0.871</v>
      </c>
      <c r="H49" s="13">
        <f t="shared" si="1"/>
        <v>0</v>
      </c>
      <c r="I49" s="13">
        <f t="shared" si="2"/>
        <v>0</v>
      </c>
    </row>
    <row r="50" spans="1:9" x14ac:dyDescent="0.35">
      <c r="A50" s="31" t="s">
        <v>1</v>
      </c>
      <c r="B50" s="9" t="s">
        <v>159</v>
      </c>
      <c r="C50" s="9" t="s">
        <v>88</v>
      </c>
      <c r="D50" s="31" t="s">
        <v>89</v>
      </c>
      <c r="E50" s="13">
        <f t="shared" si="0"/>
        <v>0</v>
      </c>
      <c r="F50" s="13">
        <v>0</v>
      </c>
      <c r="G50" s="14">
        <v>0.871</v>
      </c>
      <c r="H50" s="13">
        <f t="shared" si="1"/>
        <v>0</v>
      </c>
      <c r="I50" s="13">
        <f t="shared" si="2"/>
        <v>0</v>
      </c>
    </row>
    <row r="51" spans="1:9" x14ac:dyDescent="0.35">
      <c r="A51" s="31" t="s">
        <v>1</v>
      </c>
      <c r="B51" s="9" t="s">
        <v>159</v>
      </c>
      <c r="C51" s="9" t="s">
        <v>90</v>
      </c>
      <c r="D51" s="31" t="s">
        <v>91</v>
      </c>
      <c r="E51" s="13">
        <f t="shared" si="0"/>
        <v>0</v>
      </c>
      <c r="F51" s="13">
        <v>0</v>
      </c>
      <c r="G51" s="14">
        <v>0.871</v>
      </c>
      <c r="H51" s="13">
        <f t="shared" si="1"/>
        <v>0</v>
      </c>
      <c r="I51" s="13">
        <f t="shared" si="2"/>
        <v>0</v>
      </c>
    </row>
    <row r="52" spans="1:9" x14ac:dyDescent="0.35">
      <c r="A52" s="31" t="s">
        <v>1</v>
      </c>
      <c r="B52" s="9" t="s">
        <v>159</v>
      </c>
      <c r="C52" s="9" t="s">
        <v>92</v>
      </c>
      <c r="D52" s="31" t="s">
        <v>93</v>
      </c>
      <c r="E52" s="13">
        <f t="shared" si="0"/>
        <v>149</v>
      </c>
      <c r="F52" s="13">
        <v>2980</v>
      </c>
      <c r="G52" s="14">
        <v>0.871</v>
      </c>
      <c r="H52" s="13">
        <f t="shared" si="1"/>
        <v>19.221000000000004</v>
      </c>
      <c r="I52" s="13">
        <f t="shared" si="2"/>
        <v>384.42000000000007</v>
      </c>
    </row>
    <row r="53" spans="1:9" x14ac:dyDescent="0.35">
      <c r="A53" s="31" t="s">
        <v>3</v>
      </c>
      <c r="B53" s="9" t="s">
        <v>159</v>
      </c>
      <c r="C53" s="9" t="s">
        <v>94</v>
      </c>
      <c r="D53" s="31" t="s">
        <v>95</v>
      </c>
      <c r="E53" s="13">
        <f t="shared" si="0"/>
        <v>0.03</v>
      </c>
      <c r="F53" s="13">
        <v>0.6</v>
      </c>
      <c r="G53" s="14">
        <v>0.871</v>
      </c>
      <c r="H53" s="13">
        <f t="shared" si="1"/>
        <v>3.870000000000001E-3</v>
      </c>
      <c r="I53" s="13">
        <f t="shared" si="2"/>
        <v>7.7400000000000024E-2</v>
      </c>
    </row>
    <row r="54" spans="1:9" x14ac:dyDescent="0.35">
      <c r="A54" s="31" t="s">
        <v>3</v>
      </c>
      <c r="B54" s="9" t="s">
        <v>159</v>
      </c>
      <c r="C54" s="9" t="s">
        <v>96</v>
      </c>
      <c r="D54" s="31" t="s">
        <v>10</v>
      </c>
      <c r="E54" s="13">
        <f t="shared" si="0"/>
        <v>107021.23000000001</v>
      </c>
      <c r="F54" s="13">
        <v>2140424.6</v>
      </c>
      <c r="G54" s="14">
        <v>0.871</v>
      </c>
      <c r="H54" s="13">
        <f t="shared" si="1"/>
        <v>13805.738670000002</v>
      </c>
      <c r="I54" s="13">
        <f t="shared" si="2"/>
        <v>276114.77340000006</v>
      </c>
    </row>
    <row r="55" spans="1:9" x14ac:dyDescent="0.35">
      <c r="A55" s="31" t="s">
        <v>3</v>
      </c>
      <c r="B55" s="9" t="s">
        <v>159</v>
      </c>
      <c r="C55" s="9" t="s">
        <v>97</v>
      </c>
      <c r="D55" s="31" t="s">
        <v>9</v>
      </c>
      <c r="E55" s="13">
        <f t="shared" si="0"/>
        <v>71347.490000000005</v>
      </c>
      <c r="F55" s="13">
        <v>1426949.8</v>
      </c>
      <c r="G55" s="14">
        <v>0.871</v>
      </c>
      <c r="H55" s="13">
        <f t="shared" si="1"/>
        <v>9203.8262100000047</v>
      </c>
      <c r="I55" s="13">
        <f t="shared" si="2"/>
        <v>184076.5242000001</v>
      </c>
    </row>
    <row r="56" spans="1:9" x14ac:dyDescent="0.35">
      <c r="A56" s="31" t="s">
        <v>3</v>
      </c>
      <c r="B56" s="9" t="s">
        <v>159</v>
      </c>
      <c r="C56" s="9" t="s">
        <v>98</v>
      </c>
      <c r="D56" s="31" t="s">
        <v>11</v>
      </c>
      <c r="E56" s="13">
        <f t="shared" si="0"/>
        <v>43736.959999999999</v>
      </c>
      <c r="F56" s="13">
        <v>874739.19999999995</v>
      </c>
      <c r="G56" s="14">
        <v>0.871</v>
      </c>
      <c r="H56" s="13">
        <f t="shared" si="1"/>
        <v>5642.0678399999979</v>
      </c>
      <c r="I56" s="13">
        <f t="shared" si="2"/>
        <v>112841.35679999995</v>
      </c>
    </row>
    <row r="57" spans="1:9" x14ac:dyDescent="0.35">
      <c r="A57" s="31" t="s">
        <v>3</v>
      </c>
      <c r="B57" s="9" t="s">
        <v>159</v>
      </c>
      <c r="C57" s="9" t="s">
        <v>99</v>
      </c>
      <c r="D57" s="31" t="s">
        <v>12</v>
      </c>
      <c r="E57" s="13">
        <f t="shared" si="0"/>
        <v>32810.590000000004</v>
      </c>
      <c r="F57" s="13">
        <v>656211.80000000005</v>
      </c>
      <c r="G57" s="14">
        <v>0.871</v>
      </c>
      <c r="H57" s="13">
        <f t="shared" si="1"/>
        <v>4232.5661100000025</v>
      </c>
      <c r="I57" s="13">
        <f t="shared" si="2"/>
        <v>84651.322200000053</v>
      </c>
    </row>
    <row r="58" spans="1:9" x14ac:dyDescent="0.35">
      <c r="A58" s="31" t="s">
        <v>3</v>
      </c>
      <c r="B58" s="9" t="s">
        <v>159</v>
      </c>
      <c r="C58" s="9" t="s">
        <v>130</v>
      </c>
      <c r="D58" s="31" t="s">
        <v>131</v>
      </c>
      <c r="E58" s="13">
        <f t="shared" si="0"/>
        <v>0</v>
      </c>
      <c r="F58" s="13">
        <v>0</v>
      </c>
      <c r="G58" s="14">
        <v>0.871</v>
      </c>
      <c r="H58" s="13">
        <f t="shared" si="1"/>
        <v>0</v>
      </c>
      <c r="I58" s="13">
        <f t="shared" si="2"/>
        <v>0</v>
      </c>
    </row>
    <row r="59" spans="1:9" x14ac:dyDescent="0.35">
      <c r="A59" s="31" t="s">
        <v>1</v>
      </c>
      <c r="B59" s="9" t="s">
        <v>159</v>
      </c>
      <c r="C59" s="9" t="s">
        <v>100</v>
      </c>
      <c r="D59" s="31" t="s">
        <v>101</v>
      </c>
      <c r="E59" s="13">
        <f t="shared" si="0"/>
        <v>0</v>
      </c>
      <c r="F59" s="13">
        <v>0</v>
      </c>
      <c r="G59" s="14">
        <v>0.871</v>
      </c>
      <c r="H59" s="13">
        <f t="shared" si="1"/>
        <v>0</v>
      </c>
      <c r="I59" s="13">
        <f t="shared" si="2"/>
        <v>0</v>
      </c>
    </row>
    <row r="60" spans="1:9" x14ac:dyDescent="0.35">
      <c r="A60" s="31" t="s">
        <v>2</v>
      </c>
      <c r="B60" s="9" t="s">
        <v>16</v>
      </c>
      <c r="C60" s="9" t="s">
        <v>18</v>
      </c>
      <c r="D60" s="31" t="s">
        <v>19</v>
      </c>
      <c r="E60" s="13">
        <f t="shared" ref="E60:E66" si="3">F60/B60</f>
        <v>0</v>
      </c>
      <c r="F60" s="13">
        <v>0</v>
      </c>
      <c r="G60" s="14">
        <v>0.871</v>
      </c>
      <c r="H60" s="13">
        <f t="shared" ref="H60:H66" si="4">I60/B60</f>
        <v>0</v>
      </c>
      <c r="I60" s="13">
        <f t="shared" ref="I60:I69" si="5">F60-F60*G60</f>
        <v>0</v>
      </c>
    </row>
    <row r="61" spans="1:9" x14ac:dyDescent="0.35">
      <c r="A61" s="31" t="s">
        <v>2</v>
      </c>
      <c r="B61" s="9" t="s">
        <v>16</v>
      </c>
      <c r="C61" s="9" t="s">
        <v>20</v>
      </c>
      <c r="D61" s="31" t="s">
        <v>21</v>
      </c>
      <c r="E61" s="13">
        <f t="shared" si="3"/>
        <v>0</v>
      </c>
      <c r="F61" s="13">
        <v>0</v>
      </c>
      <c r="G61" s="14">
        <v>0.871</v>
      </c>
      <c r="H61" s="13">
        <f t="shared" si="4"/>
        <v>0</v>
      </c>
      <c r="I61" s="13">
        <f t="shared" si="5"/>
        <v>0</v>
      </c>
    </row>
    <row r="62" spans="1:9" x14ac:dyDescent="0.35">
      <c r="A62" s="31" t="s">
        <v>4</v>
      </c>
      <c r="B62" s="9" t="s">
        <v>16</v>
      </c>
      <c r="C62" s="9" t="s">
        <v>22</v>
      </c>
      <c r="D62" s="31" t="s">
        <v>23</v>
      </c>
      <c r="E62" s="13">
        <f t="shared" si="3"/>
        <v>0</v>
      </c>
      <c r="F62" s="13">
        <v>0</v>
      </c>
      <c r="G62" s="14">
        <v>0.871</v>
      </c>
      <c r="H62" s="13">
        <f t="shared" si="4"/>
        <v>0</v>
      </c>
      <c r="I62" s="13">
        <f t="shared" si="5"/>
        <v>0</v>
      </c>
    </row>
    <row r="63" spans="1:9" x14ac:dyDescent="0.35">
      <c r="A63" s="31" t="s">
        <v>2</v>
      </c>
      <c r="B63" s="9" t="s">
        <v>16</v>
      </c>
      <c r="C63" s="9" t="s">
        <v>132</v>
      </c>
      <c r="D63" s="31" t="s">
        <v>133</v>
      </c>
      <c r="E63" s="13">
        <f t="shared" si="3"/>
        <v>0.01</v>
      </c>
      <c r="F63" s="13">
        <v>0.01</v>
      </c>
      <c r="G63" s="14">
        <v>0.871</v>
      </c>
      <c r="H63" s="13">
        <f t="shared" si="4"/>
        <v>1.2899999999999995E-3</v>
      </c>
      <c r="I63" s="13">
        <f t="shared" si="5"/>
        <v>1.2899999999999995E-3</v>
      </c>
    </row>
    <row r="64" spans="1:9" x14ac:dyDescent="0.35">
      <c r="A64" s="31" t="s">
        <v>2</v>
      </c>
      <c r="B64" s="9" t="s">
        <v>165</v>
      </c>
      <c r="C64" s="9" t="s">
        <v>134</v>
      </c>
      <c r="D64" s="31" t="s">
        <v>135</v>
      </c>
      <c r="E64" s="13">
        <f t="shared" si="3"/>
        <v>1511.6</v>
      </c>
      <c r="F64" s="13">
        <v>4655728</v>
      </c>
      <c r="G64" s="14">
        <v>0.871</v>
      </c>
      <c r="H64" s="13">
        <f t="shared" si="4"/>
        <v>194.99639999999999</v>
      </c>
      <c r="I64" s="13">
        <f t="shared" si="5"/>
        <v>600588.91200000001</v>
      </c>
    </row>
    <row r="65" spans="1:9" x14ac:dyDescent="0.35">
      <c r="A65" s="31" t="s">
        <v>4</v>
      </c>
      <c r="B65" s="9" t="s">
        <v>16</v>
      </c>
      <c r="C65" s="9" t="s">
        <v>136</v>
      </c>
      <c r="D65" s="31" t="s">
        <v>137</v>
      </c>
      <c r="E65" s="13">
        <f t="shared" si="3"/>
        <v>2793660.28</v>
      </c>
      <c r="F65" s="13">
        <v>2793660.28</v>
      </c>
      <c r="G65" s="14">
        <v>0.871</v>
      </c>
      <c r="H65" s="13">
        <f t="shared" si="4"/>
        <v>360382.17611999996</v>
      </c>
      <c r="I65" s="13">
        <f t="shared" si="5"/>
        <v>360382.17611999996</v>
      </c>
    </row>
    <row r="66" spans="1:9" x14ac:dyDescent="0.35">
      <c r="A66" s="32"/>
      <c r="B66" s="8" t="s">
        <v>159</v>
      </c>
      <c r="C66" s="8"/>
      <c r="D66" s="32" t="s">
        <v>102</v>
      </c>
      <c r="E66" s="11">
        <f t="shared" si="3"/>
        <v>25.68</v>
      </c>
      <c r="F66" s="11">
        <v>513.6</v>
      </c>
      <c r="G66" s="12">
        <v>0.871</v>
      </c>
      <c r="H66" s="11">
        <f t="shared" si="4"/>
        <v>3.3127200000000014</v>
      </c>
      <c r="I66" s="11">
        <f t="shared" si="5"/>
        <v>66.254400000000032</v>
      </c>
    </row>
    <row r="67" spans="1:9" x14ac:dyDescent="0.35">
      <c r="A67" s="31" t="s">
        <v>1</v>
      </c>
      <c r="B67" s="9" t="s">
        <v>159</v>
      </c>
      <c r="C67" s="9" t="s">
        <v>103</v>
      </c>
      <c r="D67" s="31" t="s">
        <v>102</v>
      </c>
      <c r="E67" s="13">
        <f t="shared" ref="E67:E69" si="6">F67/B67</f>
        <v>25.68</v>
      </c>
      <c r="F67" s="13">
        <v>513.6</v>
      </c>
      <c r="G67" s="14">
        <v>0.871</v>
      </c>
      <c r="H67" s="13">
        <f t="shared" ref="H67:H69" si="7">I67/B67</f>
        <v>3.3127200000000014</v>
      </c>
      <c r="I67" s="13">
        <f t="shared" si="5"/>
        <v>66.254400000000032</v>
      </c>
    </row>
    <row r="68" spans="1:9" x14ac:dyDescent="0.35">
      <c r="A68" s="32"/>
      <c r="B68" s="8" t="s">
        <v>164</v>
      </c>
      <c r="C68" s="8"/>
      <c r="D68" s="32" t="s">
        <v>104</v>
      </c>
      <c r="E68" s="11">
        <f t="shared" si="6"/>
        <v>255</v>
      </c>
      <c r="F68" s="11">
        <v>20400</v>
      </c>
      <c r="G68" s="12">
        <v>0.871</v>
      </c>
      <c r="H68" s="11">
        <f t="shared" si="7"/>
        <v>32.894999999999982</v>
      </c>
      <c r="I68" s="11">
        <f t="shared" si="5"/>
        <v>2631.5999999999985</v>
      </c>
    </row>
    <row r="69" spans="1:9" x14ac:dyDescent="0.35">
      <c r="A69" s="31" t="s">
        <v>1</v>
      </c>
      <c r="B69" s="9" t="s">
        <v>164</v>
      </c>
      <c r="C69" s="9" t="s">
        <v>105</v>
      </c>
      <c r="D69" s="31" t="s">
        <v>106</v>
      </c>
      <c r="E69" s="13">
        <f t="shared" si="6"/>
        <v>255</v>
      </c>
      <c r="F69" s="13">
        <v>20400</v>
      </c>
      <c r="G69" s="14">
        <v>0.871</v>
      </c>
      <c r="H69" s="13">
        <f t="shared" si="7"/>
        <v>32.894999999999982</v>
      </c>
      <c r="I69" s="13">
        <f t="shared" si="5"/>
        <v>2631.5999999999985</v>
      </c>
    </row>
    <row r="70" spans="1:9" ht="24" thickBot="1" x14ac:dyDescent="0.55000000000000004">
      <c r="A70" s="17" t="s">
        <v>17</v>
      </c>
      <c r="B70" s="6"/>
      <c r="C70" s="7"/>
      <c r="D70" s="7"/>
      <c r="E70" s="7"/>
      <c r="F70" s="7"/>
      <c r="G70" s="7"/>
      <c r="H70" s="7"/>
      <c r="I70" s="18">
        <f>I68+I66+I7</f>
        <v>2983233.1910100006</v>
      </c>
    </row>
    <row r="71" spans="1:9" x14ac:dyDescent="0.35">
      <c r="I71" s="25"/>
    </row>
    <row r="72" spans="1:9" x14ac:dyDescent="0.35">
      <c r="I72" s="28"/>
    </row>
    <row r="73" spans="1:9" x14ac:dyDescent="0.35">
      <c r="I73" s="16"/>
    </row>
    <row r="75" spans="1:9" x14ac:dyDescent="0.35">
      <c r="I75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1BB4-C152-48B0-9A1A-C0F6150D0FE4}">
  <dimension ref="A1:I25"/>
  <sheetViews>
    <sheetView zoomScale="80" zoomScaleNormal="80" workbookViewId="0">
      <selection activeCell="E3" sqref="E3"/>
    </sheetView>
  </sheetViews>
  <sheetFormatPr defaultRowHeight="14.5" x14ac:dyDescent="0.35"/>
  <cols>
    <col min="1" max="1" width="15.54296875" style="19" bestFit="1" customWidth="1"/>
    <col min="2" max="2" width="4.08984375" style="19" bestFit="1" customWidth="1"/>
    <col min="3" max="3" width="16" style="19" bestFit="1" customWidth="1"/>
    <col min="4" max="4" width="88.7265625" bestFit="1" customWidth="1"/>
    <col min="5" max="5" width="12.6328125" bestFit="1" customWidth="1"/>
    <col min="6" max="6" width="13.36328125" bestFit="1" customWidth="1"/>
    <col min="7" max="7" width="10.1796875" bestFit="1" customWidth="1"/>
    <col min="8" max="8" width="15.453125" bestFit="1" customWidth="1"/>
    <col min="9" max="9" width="20.36328125" bestFit="1" customWidth="1"/>
  </cols>
  <sheetData>
    <row r="1" spans="1:9" x14ac:dyDescent="0.35">
      <c r="C1" s="20" t="s">
        <v>107</v>
      </c>
    </row>
    <row r="2" spans="1:9" x14ac:dyDescent="0.35">
      <c r="C2" s="20" t="s">
        <v>13</v>
      </c>
    </row>
    <row r="4" spans="1:9" x14ac:dyDescent="0.35">
      <c r="A4" s="2" t="s">
        <v>150</v>
      </c>
      <c r="C4" s="5">
        <v>3000198579668.1001</v>
      </c>
    </row>
    <row r="5" spans="1:9" x14ac:dyDescent="0.35">
      <c r="A5" s="2"/>
      <c r="B5" s="5"/>
    </row>
    <row r="6" spans="1:9" x14ac:dyDescent="0.35">
      <c r="A6" s="1" t="s">
        <v>5</v>
      </c>
      <c r="B6" s="4" t="s">
        <v>6</v>
      </c>
      <c r="C6" s="4" t="s">
        <v>7</v>
      </c>
      <c r="D6" s="1" t="s">
        <v>8</v>
      </c>
      <c r="E6" s="10" t="s">
        <v>14</v>
      </c>
      <c r="F6" s="4" t="s">
        <v>118</v>
      </c>
      <c r="G6" s="4" t="s">
        <v>0</v>
      </c>
      <c r="H6" s="10" t="s">
        <v>15</v>
      </c>
      <c r="I6" s="4" t="s">
        <v>119</v>
      </c>
    </row>
    <row r="7" spans="1:9" x14ac:dyDescent="0.35">
      <c r="A7" s="22"/>
      <c r="B7" s="8" t="s">
        <v>108</v>
      </c>
      <c r="C7" s="8"/>
      <c r="D7" s="22" t="s">
        <v>157</v>
      </c>
      <c r="E7" s="11">
        <f t="shared" ref="E7:E23" si="0">F7/B7</f>
        <v>260957.48</v>
      </c>
      <c r="F7" s="11">
        <v>521914.96</v>
      </c>
      <c r="G7" s="12"/>
      <c r="H7" s="11">
        <f t="shared" ref="H7:H23" si="1">I7/B7</f>
        <v>72809.549999999988</v>
      </c>
      <c r="I7" s="11">
        <f>SUM(I8:I15)</f>
        <v>145619.09999999998</v>
      </c>
    </row>
    <row r="8" spans="1:9" x14ac:dyDescent="0.35">
      <c r="A8" s="21" t="s">
        <v>1</v>
      </c>
      <c r="B8" s="9" t="s">
        <v>108</v>
      </c>
      <c r="C8" s="9" t="s">
        <v>151</v>
      </c>
      <c r="D8" s="21" t="s">
        <v>152</v>
      </c>
      <c r="E8" s="13">
        <f t="shared" si="0"/>
        <v>161794</v>
      </c>
      <c r="F8" s="13">
        <v>323588</v>
      </c>
      <c r="G8" s="24">
        <v>0.55000000000000004</v>
      </c>
      <c r="H8" s="13">
        <f t="shared" si="1"/>
        <v>72807.299999999988</v>
      </c>
      <c r="I8" s="13">
        <f t="shared" ref="I8:I23" si="2">F8-F8*G8</f>
        <v>145614.59999999998</v>
      </c>
    </row>
    <row r="9" spans="1:9" x14ac:dyDescent="0.35">
      <c r="A9" s="21" t="s">
        <v>1</v>
      </c>
      <c r="B9" s="9" t="s">
        <v>108</v>
      </c>
      <c r="C9" s="9" t="s">
        <v>141</v>
      </c>
      <c r="D9" s="21" t="s">
        <v>142</v>
      </c>
      <c r="E9" s="13">
        <f t="shared" si="0"/>
        <v>5</v>
      </c>
      <c r="F9" s="13">
        <v>10</v>
      </c>
      <c r="G9" s="24">
        <v>0.55000000000000004</v>
      </c>
      <c r="H9" s="13">
        <f t="shared" si="1"/>
        <v>2.25</v>
      </c>
      <c r="I9" s="13">
        <f t="shared" si="2"/>
        <v>4.5</v>
      </c>
    </row>
    <row r="10" spans="1:9" x14ac:dyDescent="0.35">
      <c r="A10" s="21" t="s">
        <v>3</v>
      </c>
      <c r="B10" s="9" t="s">
        <v>108</v>
      </c>
      <c r="C10" s="9" t="s">
        <v>153</v>
      </c>
      <c r="D10" s="21" t="s">
        <v>138</v>
      </c>
      <c r="E10" s="13">
        <f t="shared" si="0"/>
        <v>0.02</v>
      </c>
      <c r="F10" s="13">
        <v>0.04</v>
      </c>
      <c r="G10" s="24">
        <v>1</v>
      </c>
      <c r="H10" s="13">
        <f t="shared" si="1"/>
        <v>0</v>
      </c>
      <c r="I10" s="13">
        <f t="shared" si="2"/>
        <v>0</v>
      </c>
    </row>
    <row r="11" spans="1:9" x14ac:dyDescent="0.35">
      <c r="A11" s="21" t="s">
        <v>3</v>
      </c>
      <c r="B11" s="9" t="s">
        <v>108</v>
      </c>
      <c r="C11" s="9" t="s">
        <v>143</v>
      </c>
      <c r="D11" s="21" t="s">
        <v>9</v>
      </c>
      <c r="E11" s="13">
        <f t="shared" si="0"/>
        <v>27504.799999999999</v>
      </c>
      <c r="F11" s="13">
        <v>55009.599999999999</v>
      </c>
      <c r="G11" s="24">
        <v>1</v>
      </c>
      <c r="H11" s="13">
        <f t="shared" si="1"/>
        <v>0</v>
      </c>
      <c r="I11" s="13">
        <f t="shared" si="2"/>
        <v>0</v>
      </c>
    </row>
    <row r="12" spans="1:9" x14ac:dyDescent="0.35">
      <c r="A12" s="21" t="s">
        <v>3</v>
      </c>
      <c r="B12" s="9" t="s">
        <v>108</v>
      </c>
      <c r="C12" s="9" t="s">
        <v>144</v>
      </c>
      <c r="D12" s="21" t="s">
        <v>10</v>
      </c>
      <c r="E12" s="13">
        <f t="shared" si="0"/>
        <v>31550.16</v>
      </c>
      <c r="F12" s="13">
        <v>63100.32</v>
      </c>
      <c r="G12" s="24">
        <v>1</v>
      </c>
      <c r="H12" s="13">
        <f>I12/B12</f>
        <v>0</v>
      </c>
      <c r="I12" s="13">
        <f t="shared" si="2"/>
        <v>0</v>
      </c>
    </row>
    <row r="13" spans="1:9" x14ac:dyDescent="0.35">
      <c r="A13" s="21" t="s">
        <v>3</v>
      </c>
      <c r="B13" s="9" t="s">
        <v>108</v>
      </c>
      <c r="C13" s="9" t="s">
        <v>145</v>
      </c>
      <c r="D13" s="21" t="s">
        <v>11</v>
      </c>
      <c r="E13" s="13">
        <f t="shared" si="0"/>
        <v>29929.58</v>
      </c>
      <c r="F13" s="13">
        <v>59859.16</v>
      </c>
      <c r="G13" s="24">
        <v>1</v>
      </c>
      <c r="H13" s="13">
        <f t="shared" si="1"/>
        <v>0</v>
      </c>
      <c r="I13" s="13">
        <f t="shared" si="2"/>
        <v>0</v>
      </c>
    </row>
    <row r="14" spans="1:9" x14ac:dyDescent="0.35">
      <c r="A14" s="21" t="s">
        <v>3</v>
      </c>
      <c r="B14" s="9" t="s">
        <v>108</v>
      </c>
      <c r="C14" s="9" t="s">
        <v>146</v>
      </c>
      <c r="D14" s="21" t="s">
        <v>12</v>
      </c>
      <c r="E14" s="13">
        <f t="shared" si="0"/>
        <v>10173.92</v>
      </c>
      <c r="F14" s="13">
        <v>20347.84</v>
      </c>
      <c r="G14" s="24">
        <v>1</v>
      </c>
      <c r="H14" s="13">
        <f t="shared" si="1"/>
        <v>0</v>
      </c>
      <c r="I14" s="13">
        <f t="shared" si="2"/>
        <v>0</v>
      </c>
    </row>
    <row r="15" spans="1:9" x14ac:dyDescent="0.35">
      <c r="A15" s="21" t="s">
        <v>3</v>
      </c>
      <c r="B15" s="9" t="s">
        <v>108</v>
      </c>
      <c r="C15" s="9" t="s">
        <v>139</v>
      </c>
      <c r="D15" s="21" t="s">
        <v>140</v>
      </c>
      <c r="E15" s="13">
        <f t="shared" si="0"/>
        <v>0</v>
      </c>
      <c r="F15" s="13">
        <v>0</v>
      </c>
      <c r="G15" s="24">
        <v>1</v>
      </c>
      <c r="H15" s="13">
        <f t="shared" si="1"/>
        <v>0</v>
      </c>
      <c r="I15" s="13">
        <f t="shared" si="2"/>
        <v>0</v>
      </c>
    </row>
    <row r="16" spans="1:9" x14ac:dyDescent="0.35">
      <c r="A16" s="22"/>
      <c r="B16" s="8" t="s">
        <v>108</v>
      </c>
      <c r="C16" s="8"/>
      <c r="D16" s="22" t="s">
        <v>149</v>
      </c>
      <c r="E16" s="11">
        <f t="shared" si="0"/>
        <v>53306.53</v>
      </c>
      <c r="F16" s="11">
        <v>106613.06</v>
      </c>
      <c r="G16" s="23"/>
      <c r="H16" s="11">
        <f t="shared" si="1"/>
        <v>11993.849999999999</v>
      </c>
      <c r="I16" s="11">
        <f>SUM(I17:I19)</f>
        <v>23987.699999999997</v>
      </c>
    </row>
    <row r="17" spans="1:9" x14ac:dyDescent="0.35">
      <c r="A17" s="21" t="s">
        <v>2</v>
      </c>
      <c r="B17" s="9" t="s">
        <v>108</v>
      </c>
      <c r="C17" s="9" t="s">
        <v>154</v>
      </c>
      <c r="D17" s="21" t="s">
        <v>155</v>
      </c>
      <c r="E17" s="13">
        <f t="shared" si="0"/>
        <v>26653</v>
      </c>
      <c r="F17" s="13">
        <v>53306</v>
      </c>
      <c r="G17" s="24">
        <v>0.55000000000000004</v>
      </c>
      <c r="H17" s="13">
        <f t="shared" si="1"/>
        <v>11993.849999999999</v>
      </c>
      <c r="I17" s="13">
        <f t="shared" si="2"/>
        <v>23987.699999999997</v>
      </c>
    </row>
    <row r="18" spans="1:9" x14ac:dyDescent="0.35">
      <c r="A18" s="21" t="s">
        <v>3</v>
      </c>
      <c r="B18" s="9" t="s">
        <v>108</v>
      </c>
      <c r="C18" s="9" t="s">
        <v>139</v>
      </c>
      <c r="D18" s="21" t="s">
        <v>140</v>
      </c>
      <c r="E18" s="13">
        <f t="shared" si="0"/>
        <v>0</v>
      </c>
      <c r="F18" s="13">
        <v>0</v>
      </c>
      <c r="G18" s="24">
        <v>1</v>
      </c>
      <c r="H18" s="13">
        <f t="shared" si="1"/>
        <v>0</v>
      </c>
      <c r="I18" s="13">
        <f t="shared" si="2"/>
        <v>0</v>
      </c>
    </row>
    <row r="19" spans="1:9" x14ac:dyDescent="0.35">
      <c r="A19" s="21" t="s">
        <v>4</v>
      </c>
      <c r="B19" s="9" t="s">
        <v>108</v>
      </c>
      <c r="C19" s="9" t="s">
        <v>147</v>
      </c>
      <c r="D19" s="21" t="s">
        <v>148</v>
      </c>
      <c r="E19" s="13">
        <f t="shared" si="0"/>
        <v>26653.53</v>
      </c>
      <c r="F19" s="13">
        <v>53307.06</v>
      </c>
      <c r="G19" s="24">
        <v>1</v>
      </c>
      <c r="H19" s="13">
        <f t="shared" si="1"/>
        <v>0</v>
      </c>
      <c r="I19" s="13">
        <f t="shared" si="2"/>
        <v>0</v>
      </c>
    </row>
    <row r="20" spans="1:9" x14ac:dyDescent="0.35">
      <c r="A20" s="22"/>
      <c r="B20" s="8" t="s">
        <v>156</v>
      </c>
      <c r="C20" s="8"/>
      <c r="D20" s="22" t="s">
        <v>104</v>
      </c>
      <c r="E20" s="11">
        <f t="shared" si="0"/>
        <v>255</v>
      </c>
      <c r="F20" s="11">
        <v>48960</v>
      </c>
      <c r="G20" s="23">
        <v>0.55000000000000004</v>
      </c>
      <c r="H20" s="11">
        <f t="shared" si="1"/>
        <v>114.74999999999999</v>
      </c>
      <c r="I20" s="11">
        <f t="shared" si="2"/>
        <v>22031.999999999996</v>
      </c>
    </row>
    <row r="21" spans="1:9" x14ac:dyDescent="0.35">
      <c r="A21" s="21" t="s">
        <v>1</v>
      </c>
      <c r="B21" s="9" t="s">
        <v>156</v>
      </c>
      <c r="C21" s="9" t="s">
        <v>105</v>
      </c>
      <c r="D21" s="21" t="s">
        <v>106</v>
      </c>
      <c r="E21" s="13">
        <f t="shared" si="0"/>
        <v>255</v>
      </c>
      <c r="F21" s="13">
        <v>48960</v>
      </c>
      <c r="G21" s="24">
        <v>0.55000000000000004</v>
      </c>
      <c r="H21" s="13">
        <f t="shared" si="1"/>
        <v>114.74999999999999</v>
      </c>
      <c r="I21" s="13">
        <f t="shared" si="2"/>
        <v>22031.999999999996</v>
      </c>
    </row>
    <row r="22" spans="1:9" x14ac:dyDescent="0.35">
      <c r="A22" s="22"/>
      <c r="B22" s="8" t="s">
        <v>113</v>
      </c>
      <c r="C22" s="8"/>
      <c r="D22" s="22" t="s">
        <v>102</v>
      </c>
      <c r="E22" s="11">
        <f t="shared" si="0"/>
        <v>32.1</v>
      </c>
      <c r="F22" s="11">
        <v>128.4</v>
      </c>
      <c r="G22" s="23">
        <v>0.55000000000000004</v>
      </c>
      <c r="H22" s="11">
        <f t="shared" si="1"/>
        <v>14.445</v>
      </c>
      <c r="I22" s="11">
        <f t="shared" si="2"/>
        <v>57.78</v>
      </c>
    </row>
    <row r="23" spans="1:9" ht="15" thickBot="1" x14ac:dyDescent="0.4">
      <c r="A23" s="21" t="s">
        <v>1</v>
      </c>
      <c r="B23" s="9" t="s">
        <v>113</v>
      </c>
      <c r="C23" s="9" t="s">
        <v>103</v>
      </c>
      <c r="D23" s="21" t="s">
        <v>102</v>
      </c>
      <c r="E23" s="13">
        <f t="shared" si="0"/>
        <v>32.1</v>
      </c>
      <c r="F23" s="13">
        <v>128.4</v>
      </c>
      <c r="G23" s="24">
        <v>0.55000000000000004</v>
      </c>
      <c r="H23" s="13">
        <f t="shared" si="1"/>
        <v>14.445</v>
      </c>
      <c r="I23" s="26">
        <f t="shared" si="2"/>
        <v>57.78</v>
      </c>
    </row>
    <row r="24" spans="1:9" ht="24" thickBot="1" x14ac:dyDescent="0.6">
      <c r="A24" s="17" t="s">
        <v>17</v>
      </c>
      <c r="B24" s="6"/>
      <c r="C24" s="7"/>
      <c r="D24" s="7"/>
      <c r="E24" s="7"/>
      <c r="F24" s="7"/>
      <c r="G24" s="7"/>
      <c r="H24" s="7"/>
      <c r="I24" s="27">
        <f>I22+I20+I16+I7</f>
        <v>191696.57999999996</v>
      </c>
    </row>
    <row r="25" spans="1:9" x14ac:dyDescent="0.35">
      <c r="F25" s="25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4D32F7EE128D054E8D8D4484DD127465" ma:contentTypeVersion="14" ma:contentTypeDescription="צור מסמך חדש." ma:contentTypeScope="" ma:versionID="f5dca574d71b83bcc10d3ea2f4e53236">
  <xsd:schema xmlns:xsd="http://www.w3.org/2001/XMLSchema" xmlns:xs="http://www.w3.org/2001/XMLSchema" xmlns:p="http://schemas.microsoft.com/office/2006/metadata/properties" xmlns:ns2="2527fbd5-c3ce-4018-b06e-5bbdf2429b1e" xmlns:ns3="c4180328-b86f-4b0b-b0eb-74c29e89d42b" targetNamespace="http://schemas.microsoft.com/office/2006/metadata/properties" ma:root="true" ma:fieldsID="7e82b19bf90937ba6b1a80ee7f65a809" ns2:_="" ns3:_="">
    <xsd:import namespace="2527fbd5-c3ce-4018-b06e-5bbdf2429b1e"/>
    <xsd:import namespace="c4180328-b86f-4b0b-b0eb-74c29e89d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7fbd5-c3ce-4018-b06e-5bbdf242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תגיות תמונה" ma:readOnly="false" ma:fieldId="{5cf76f15-5ced-4ddc-b409-7134ff3c332f}" ma:taxonomyMulti="true" ma:sspId="f4a8f3d3-8814-4760-a664-575ca63320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80328-b86f-4b0b-b0eb-74c29e89d42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d6721a-2949-4833-84f0-b215caad4c70}" ma:internalName="TaxCatchAll" ma:showField="CatchAllData" ma:web="c4180328-b86f-4b0b-b0eb-74c29e89d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180328-b86f-4b0b-b0eb-74c29e89d42b" xsi:nil="true"/>
    <lcf76f155ced4ddcb4097134ff3c332f xmlns="2527fbd5-c3ce-4018-b06e-5bbdf2429b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4769F4-EE38-4097-8656-CAA102481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4E71ED-C4F0-4028-97C8-5C5BBAA3C2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27fbd5-c3ce-4018-b06e-5bbdf2429b1e"/>
    <ds:schemaRef ds:uri="c4180328-b86f-4b0b-b0eb-74c29e89d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83B265-030C-4F5F-8B56-4827EE818B61}">
  <ds:schemaRefs>
    <ds:schemaRef ds:uri="http://purl.org/dc/dcmitype/"/>
    <ds:schemaRef ds:uri="c4180328-b86f-4b0b-b0eb-74c29e89d42b"/>
    <ds:schemaRef ds:uri="http://schemas.microsoft.com/office/2006/documentManagement/types"/>
    <ds:schemaRef ds:uri="http://purl.org/dc/terms/"/>
    <ds:schemaRef ds:uri="http://purl.org/dc/elements/1.1/"/>
    <ds:schemaRef ds:uri="2527fbd5-c3ce-4018-b06e-5bbdf2429b1e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 x PowerFlex R660</vt:lpstr>
      <vt:lpstr>2 x 9396T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Nagar, Lidor</dc:creator>
  <cp:lastModifiedBy>Peretz, Nissim</cp:lastModifiedBy>
  <dcterms:created xsi:type="dcterms:W3CDTF">2024-12-25T14:40:02Z</dcterms:created>
  <dcterms:modified xsi:type="dcterms:W3CDTF">2026-03-04T06:18:00Z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2024-12-25T14:40:15Z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f15d719d-d51b-49a7-bd31-dc6a1274fe46</vt:lpwstr>
  </property>
  <property fmtid="{D5CDD505-2E9C-101B-9397-08002B2CF9AE}" pid="8" name="MSIP_Label_dad3be33-4108-4738-9e07-d8656a181486_ContentBits">
    <vt:lpwstr>0</vt:lpwstr>
  </property>
  <property fmtid="{D5CDD505-2E9C-101B-9397-08002B2CF9AE}" pid="9" name="ContentTypeId">
    <vt:lpwstr>0x0101004D32F7EE128D054E8D8D4484DD127465</vt:lpwstr>
  </property>
  <property fmtid="{D5CDD505-2E9C-101B-9397-08002B2CF9AE}" pid="10" name="MediaServiceImageTags">
    <vt:lpwstr/>
  </property>
</Properties>
</file>