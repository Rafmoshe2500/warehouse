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tomer\AppData\Local\Microsoft\Windows\INetCache\Content.Outlook\404QK5CM\"/>
    </mc:Choice>
  </mc:AlternateContent>
  <xr:revisionPtr revIDLastSave="0" documentId="13_ncr:1_{0EFF9BFF-C188-4006-BE1B-A126BA2561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סיכום" sheetId="7" r:id="rId1"/>
    <sheet name="HPE Apollo 4140 " sheetId="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7" l="1"/>
  <c r="F10" i="7"/>
  <c r="D10" i="7"/>
  <c r="E13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8" i="19"/>
  <c r="F10" i="19"/>
  <c r="F11" i="19"/>
  <c r="F13" i="19"/>
  <c r="F15" i="19"/>
  <c r="F16" i="19"/>
  <c r="F18" i="19"/>
  <c r="F20" i="19"/>
  <c r="F22" i="19"/>
  <c r="F24" i="19"/>
  <c r="F25" i="19"/>
  <c r="F27" i="19"/>
  <c r="F29" i="19"/>
  <c r="F31" i="19"/>
  <c r="F32" i="19"/>
  <c r="F34" i="19"/>
  <c r="F36" i="19"/>
  <c r="F37" i="19"/>
  <c r="F39" i="19"/>
  <c r="F41" i="19"/>
  <c r="E38" i="19"/>
  <c r="E39" i="19"/>
  <c r="E40" i="19"/>
  <c r="E41" i="19"/>
  <c r="E8" i="19"/>
  <c r="B10" i="7"/>
  <c r="H7" i="19" l="1"/>
  <c r="E9" i="19"/>
  <c r="E10" i="19"/>
  <c r="E11" i="19"/>
  <c r="E12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7" i="19" l="1"/>
  <c r="E10" i="7"/>
  <c r="F8" i="19" l="1"/>
  <c r="F7" i="19" l="1"/>
</calcChain>
</file>

<file path=xl/sharedStrings.xml><?xml version="1.0" encoding="utf-8"?>
<sst xmlns="http://schemas.openxmlformats.org/spreadsheetml/2006/main" count="106" uniqueCount="64">
  <si>
    <t>Qty</t>
  </si>
  <si>
    <t>Factory Integrated</t>
  </si>
  <si>
    <t xml:space="preserve"> Qty</t>
  </si>
  <si>
    <t>Prod#</t>
  </si>
  <si>
    <t>Description</t>
  </si>
  <si>
    <t>Unit List Price</t>
  </si>
  <si>
    <t>Summary</t>
  </si>
  <si>
    <t>UCID</t>
  </si>
  <si>
    <t>E5Y35AAE</t>
  </si>
  <si>
    <t>Total List Price</t>
  </si>
  <si>
    <t>Total Net Price</t>
  </si>
  <si>
    <t>HA849A1</t>
  </si>
  <si>
    <t>Unit Net Price</t>
  </si>
  <si>
    <t>Total List</t>
  </si>
  <si>
    <t>Disc %</t>
  </si>
  <si>
    <t>Unit Net</t>
  </si>
  <si>
    <t>Total Net</t>
  </si>
  <si>
    <t>ILS Content (USD)</t>
  </si>
  <si>
    <t>HPE Product and Package Labeling SVC</t>
  </si>
  <si>
    <t>FACTORY INTEGRATED</t>
  </si>
  <si>
    <t>HPE OV 3yr 24x7 Supp Flex E-LTU</t>
  </si>
  <si>
    <t>-</t>
  </si>
  <si>
    <t>P63253-B21</t>
  </si>
  <si>
    <t>P50806-B21</t>
  </si>
  <si>
    <t>P43331-K21</t>
  </si>
  <si>
    <t>P63129-B21</t>
  </si>
  <si>
    <t>P69234-K21</t>
  </si>
  <si>
    <t>P69239-K21</t>
  </si>
  <si>
    <t>P68585-K21</t>
  </si>
  <si>
    <t>P02377-B21</t>
  </si>
  <si>
    <t>P61479-B21</t>
  </si>
  <si>
    <t>P44712-B21</t>
  </si>
  <si>
    <t>P64001-B21</t>
  </si>
  <si>
    <t>P64970-B21</t>
  </si>
  <si>
    <t>P79783-B21</t>
  </si>
  <si>
    <t>HPE AL STG SVR 4140 92LFF CTO System</t>
  </si>
  <si>
    <t>INT Xeon-G 6438Y+ Kit AL STG SVR 41X0</t>
  </si>
  <si>
    <t>Factory integrated</t>
  </si>
  <si>
    <t>HPE 64GB 2Rx4 PC5-4800B-R Smart Kit</t>
  </si>
  <si>
    <t>HPE AL STG SVR 4140 8EDSFF E3.S FIO Kit</t>
  </si>
  <si>
    <t>HPE 1.92TB NVMe RI E3S EC1 CD8P SSD</t>
  </si>
  <si>
    <t>HPE 7.68TB NVMe RI E3S EC1 CD8P SSD</t>
  </si>
  <si>
    <t>HPE 24TB SATA 7.2K LFF LP ISE MV HDD</t>
  </si>
  <si>
    <t>HPE Smart Hybrid Capacitor w/ 145mm Cbl</t>
  </si>
  <si>
    <t>HPE AL STG SVR 41X0 SR 32p FIO Stg Cntrl</t>
  </si>
  <si>
    <t>HPE 1800W-2200W FS Ti Ht Plg PS Kit</t>
  </si>
  <si>
    <t>HPE AL STG SVR 4140 CPU Heat Sink Kit</t>
  </si>
  <si>
    <t>HPE Alletra 4140 4U Rail Kit</t>
  </si>
  <si>
    <t>HPE AL STG SVR 4140 Chassis Handle Kit</t>
  </si>
  <si>
    <t xml:space="preserve">4140 SDS </t>
  </si>
  <si>
    <t>5151946784-01</t>
  </si>
  <si>
    <t>4140 SDS 22022026-ns204-480-direct attached</t>
  </si>
  <si>
    <t>NQ10050142-01</t>
  </si>
  <si>
    <t>P25960-B21</t>
  </si>
  <si>
    <t>P65897-B21</t>
  </si>
  <si>
    <t>P64208-B21</t>
  </si>
  <si>
    <t>P48183-B21</t>
  </si>
  <si>
    <t>P64210-B21</t>
  </si>
  <si>
    <t>MLX MCX623106AS 100GbE 2p QSFP56 Adptr</t>
  </si>
  <si>
    <t>HPE AL STG SVR 4140 2P 8EDSFF DA Kit</t>
  </si>
  <si>
    <t>HPE AL STG SVR 4140 Serial FIO Enble Kit</t>
  </si>
  <si>
    <t>HPE NS204i-u Gen11 Ht Plg Boot Opt Dev</t>
  </si>
  <si>
    <t>HPE AL STG SVR 4140 NS204i-u FIO Kit</t>
  </si>
  <si>
    <t>תוקף ההצעה 03.04.2026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</si>
</sst>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.00_ ;_ * \-#,##0.00_ ;_ * &quot;-&quot;??_ ;_ @_ "/>
    <numFmt numFmtId="167" formatCode="_ * #,##0_ ;_ * \-#,##0_ ;_ * &quot;-&quot;??_ ;_ @_ "/>
    <numFmt numFmtId="168" formatCode="_(* #,##0_);_(* \(#,##0\);_(* &quot;-&quot;??_);_(@_)"/>
  </numFmts>
  <fonts count="15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"/>
      <name val="Aptos"/>
      <family val="2"/>
    </font>
    <font>
      <sz val="12"/>
      <color theme="0"/>
      <name val="Calibri"/>
      <family val="2"/>
      <scheme val="minor"/>
    </font>
    <font>
      <sz val="10"/>
      <color indexed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3" fillId="6" borderId="2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3" xfId="0" applyFill="1" applyBorder="1"/>
    <xf numFmtId="0" fontId="0" fillId="6" borderId="0" xfId="0" applyFill="1"/>
    <xf numFmtId="0" fontId="0" fillId="6" borderId="5" xfId="0" applyFill="1" applyBorder="1"/>
    <xf numFmtId="14" fontId="6" fillId="6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3" fontId="2" fillId="3" borderId="6" xfId="0" applyNumberFormat="1" applyFont="1" applyFill="1" applyBorder="1"/>
    <xf numFmtId="3" fontId="2" fillId="3" borderId="6" xfId="0" applyNumberFormat="1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14" fontId="8" fillId="6" borderId="0" xfId="0" applyNumberFormat="1" applyFont="1" applyFill="1" applyAlignment="1">
      <alignment horizontal="center"/>
    </xf>
    <xf numFmtId="167" fontId="8" fillId="8" borderId="1" xfId="1" applyNumberFormat="1" applyFont="1" applyFill="1" applyBorder="1" applyAlignment="1">
      <alignment horizontal="center" vertical="top"/>
    </xf>
    <xf numFmtId="167" fontId="8" fillId="8" borderId="1" xfId="1" applyNumberFormat="1" applyFont="1" applyFill="1" applyBorder="1" applyAlignment="1">
      <alignment vertical="top"/>
    </xf>
    <xf numFmtId="167" fontId="8" fillId="8" borderId="7" xfId="1" applyNumberFormat="1" applyFont="1" applyFill="1" applyBorder="1" applyAlignment="1">
      <alignment vertical="top"/>
    </xf>
    <xf numFmtId="167" fontId="8" fillId="8" borderId="8" xfId="1" applyNumberFormat="1" applyFont="1" applyFill="1" applyBorder="1" applyAlignment="1">
      <alignment horizontal="center" vertical="top"/>
    </xf>
    <xf numFmtId="164" fontId="9" fillId="0" borderId="0" xfId="2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4" fillId="5" borderId="13" xfId="0" applyFont="1" applyFill="1" applyBorder="1" applyAlignment="1">
      <alignment horizontal="center"/>
    </xf>
    <xf numFmtId="10" fontId="2" fillId="3" borderId="6" xfId="0" applyNumberFormat="1" applyFont="1" applyFill="1" applyBorder="1" applyAlignment="1" applyProtection="1">
      <alignment horizontal="center"/>
      <protection locked="0"/>
    </xf>
    <xf numFmtId="167" fontId="2" fillId="3" borderId="6" xfId="1" applyNumberFormat="1" applyFont="1" applyFill="1" applyBorder="1" applyAlignment="1" applyProtection="1">
      <alignment horizontal="center"/>
      <protection locked="0"/>
    </xf>
    <xf numFmtId="165" fontId="5" fillId="4" borderId="13" xfId="0" applyNumberFormat="1" applyFont="1" applyFill="1" applyBorder="1" applyAlignment="1">
      <alignment horizontal="center"/>
    </xf>
    <xf numFmtId="2" fontId="0" fillId="0" borderId="12" xfId="0" applyNumberFormat="1" applyBorder="1"/>
    <xf numFmtId="1" fontId="0" fillId="0" borderId="12" xfId="0" applyNumberFormat="1" applyBorder="1"/>
    <xf numFmtId="10" fontId="0" fillId="0" borderId="12" xfId="5" applyNumberFormat="1" applyFont="1" applyBorder="1"/>
    <xf numFmtId="0" fontId="9" fillId="0" borderId="0" xfId="0" applyFont="1"/>
    <xf numFmtId="0" fontId="2" fillId="4" borderId="13" xfId="0" applyFont="1" applyFill="1" applyBorder="1" applyAlignment="1">
      <alignment horizontal="center"/>
    </xf>
    <xf numFmtId="168" fontId="4" fillId="4" borderId="13" xfId="0" applyNumberFormat="1" applyFont="1" applyFill="1" applyBorder="1" applyAlignment="1">
      <alignment horizontal="center"/>
    </xf>
    <xf numFmtId="10" fontId="4" fillId="4" borderId="13" xfId="5" applyNumberFormat="1" applyFont="1" applyFill="1" applyBorder="1" applyAlignment="1">
      <alignment horizontal="center"/>
    </xf>
    <xf numFmtId="0" fontId="0" fillId="0" borderId="14" xfId="0" applyBorder="1"/>
    <xf numFmtId="164" fontId="9" fillId="0" borderId="1" xfId="2" applyFont="1" applyBorder="1" applyAlignment="1">
      <alignment horizontal="center" vertical="top"/>
    </xf>
    <xf numFmtId="0" fontId="10" fillId="2" borderId="1" xfId="0" applyFont="1" applyFill="1" applyBorder="1" applyAlignment="1">
      <alignment horizontal="center"/>
    </xf>
    <xf numFmtId="164" fontId="9" fillId="6" borderId="1" xfId="2" applyFont="1" applyFill="1" applyBorder="1" applyAlignment="1">
      <alignment horizontal="center" vertical="top"/>
    </xf>
    <xf numFmtId="164" fontId="9" fillId="0" borderId="8" xfId="2" applyFont="1" applyBorder="1" applyAlignment="1">
      <alignment horizontal="center" vertical="top"/>
    </xf>
    <xf numFmtId="0" fontId="11" fillId="6" borderId="7" xfId="0" applyFont="1" applyFill="1" applyBorder="1" applyAlignment="1">
      <alignment horizontal="center"/>
    </xf>
    <xf numFmtId="0" fontId="0" fillId="0" borderId="14" xfId="0" applyBorder="1" applyAlignment="1">
      <alignment horizontal="right"/>
    </xf>
    <xf numFmtId="4" fontId="0" fillId="0" borderId="14" xfId="0" applyNumberFormat="1" applyBorder="1" applyAlignment="1">
      <alignment horizontal="right"/>
    </xf>
    <xf numFmtId="164" fontId="13" fillId="0" borderId="0" xfId="2" applyFont="1" applyBorder="1" applyAlignment="1">
      <alignment horizontal="center" vertical="top"/>
    </xf>
    <xf numFmtId="0" fontId="8" fillId="0" borderId="0" xfId="0" applyFont="1" applyAlignment="1">
      <alignment horizontal="center"/>
    </xf>
    <xf numFmtId="164" fontId="9" fillId="0" borderId="1" xfId="2" applyFont="1" applyFill="1" applyBorder="1" applyAlignment="1">
      <alignment vertical="top"/>
    </xf>
    <xf numFmtId="0" fontId="14" fillId="0" borderId="14" xfId="0" applyFont="1" applyBorder="1" applyAlignment="1">
      <alignment horizontal="right"/>
    </xf>
    <xf numFmtId="10" fontId="0" fillId="0" borderId="12" xfId="5" applyNumberFormat="1" applyFont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top"/>
    </xf>
    <xf numFmtId="0" fontId="7" fillId="7" borderId="10" xfId="0" applyFont="1" applyFill="1" applyBorder="1" applyAlignment="1">
      <alignment horizontal="center" vertical="top"/>
    </xf>
    <xf numFmtId="0" fontId="7" fillId="7" borderId="11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</cellXfs>
  <cellStyles count="6">
    <cellStyle name="Comma" xfId="1" builtinId="3"/>
    <cellStyle name="Comma 2" xfId="3" xr:uid="{50FC3A17-95C4-494E-9DEF-BF1803A62FB4}"/>
    <cellStyle name="Comma 3" xfId="4" xr:uid="{0DC1708A-571A-4B03-A88F-4402DB4D7461}"/>
    <cellStyle name="Currency" xfId="2" builtinId="4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0</xdr:rowOff>
    </xdr:from>
    <xdr:to>
      <xdr:col>0</xdr:col>
      <xdr:colOff>1514101</xdr:colOff>
      <xdr:row>4</xdr:row>
      <xdr:rowOff>105410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DB5EF0-728C-4932-9061-18EA47968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" y="0"/>
          <a:ext cx="1508125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227475</xdr:colOff>
      <xdr:row>4</xdr:row>
      <xdr:rowOff>72449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64443D-A3D1-46E5-BAAC-431E4A68D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7645" cy="844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43FD-362F-4F44-B5B3-D99DEAD5DAFC}">
  <dimension ref="A1:L20"/>
  <sheetViews>
    <sheetView tabSelected="1" zoomScale="86" zoomScaleNormal="85" workbookViewId="0">
      <selection activeCell="A8" sqref="A8:G8"/>
    </sheetView>
  </sheetViews>
  <sheetFormatPr defaultColWidth="8.81640625" defaultRowHeight="14.5" x14ac:dyDescent="0.35"/>
  <cols>
    <col min="1" max="1" width="24" customWidth="1"/>
    <col min="2" max="2" width="80.81640625" bestFit="1" customWidth="1"/>
    <col min="3" max="3" width="5.81640625" bestFit="1" customWidth="1"/>
    <col min="4" max="4" width="15.81640625" customWidth="1"/>
    <col min="5" max="5" width="16.81640625" bestFit="1" customWidth="1"/>
    <col min="6" max="6" width="14.6328125" bestFit="1" customWidth="1"/>
    <col min="7" max="7" width="22.453125" bestFit="1" customWidth="1"/>
    <col min="8" max="8" width="11.81640625" bestFit="1" customWidth="1"/>
    <col min="9" max="9" width="11.453125" bestFit="1" customWidth="1"/>
    <col min="11" max="11" width="12.81640625" bestFit="1" customWidth="1"/>
    <col min="12" max="12" width="11" customWidth="1"/>
    <col min="13" max="13" width="10.36328125" customWidth="1"/>
    <col min="14" max="14" width="12.453125" bestFit="1" customWidth="1"/>
    <col min="16" max="16" width="12.453125" bestFit="1" customWidth="1"/>
  </cols>
  <sheetData>
    <row r="1" spans="1:12" s="1" customFormat="1" x14ac:dyDescent="0.35">
      <c r="A1" s="2"/>
      <c r="B1" s="9"/>
      <c r="C1" s="9"/>
      <c r="D1" s="9"/>
      <c r="E1" s="9"/>
      <c r="F1"/>
      <c r="G1"/>
      <c r="H1"/>
      <c r="I1"/>
      <c r="J1"/>
    </row>
    <row r="2" spans="1:12" s="1" customFormat="1" x14ac:dyDescent="0.35">
      <c r="A2" s="5"/>
      <c r="B2" s="16" t="s">
        <v>49</v>
      </c>
      <c r="C2" s="10"/>
      <c r="D2" s="10"/>
      <c r="E2" s="10"/>
      <c r="F2"/>
      <c r="G2"/>
      <c r="H2"/>
      <c r="I2"/>
      <c r="J2"/>
    </row>
    <row r="3" spans="1:12" s="1" customFormat="1" x14ac:dyDescent="0.35">
      <c r="A3" s="7"/>
      <c r="B3" s="12">
        <v>46084</v>
      </c>
      <c r="C3" s="10"/>
      <c r="D3" s="10"/>
      <c r="E3" s="10"/>
      <c r="F3"/>
      <c r="G3"/>
      <c r="H3"/>
      <c r="I3"/>
      <c r="J3"/>
    </row>
    <row r="4" spans="1:12" s="1" customFormat="1" x14ac:dyDescent="0.35">
      <c r="A4" s="7"/>
      <c r="B4" s="24" t="s">
        <v>52</v>
      </c>
      <c r="C4" s="10"/>
      <c r="D4" s="10"/>
      <c r="E4" s="10"/>
      <c r="F4"/>
      <c r="G4"/>
      <c r="H4"/>
      <c r="I4"/>
      <c r="J4"/>
    </row>
    <row r="5" spans="1:12" s="1" customFormat="1" x14ac:dyDescent="0.35">
      <c r="A5" s="7"/>
      <c r="B5" s="10"/>
      <c r="C5" s="10"/>
      <c r="D5" s="10"/>
      <c r="E5" s="10"/>
      <c r="F5"/>
      <c r="G5"/>
      <c r="H5"/>
      <c r="I5"/>
      <c r="J5"/>
    </row>
    <row r="6" spans="1:12" s="1" customFormat="1" x14ac:dyDescent="0.35">
      <c r="A6" s="7"/>
      <c r="B6" s="23"/>
      <c r="C6" s="10"/>
      <c r="D6" s="10"/>
      <c r="E6" s="10"/>
      <c r="F6"/>
      <c r="G6"/>
      <c r="H6"/>
      <c r="I6"/>
      <c r="J6"/>
    </row>
    <row r="7" spans="1:12" s="1" customFormat="1" ht="15" thickBot="1" x14ac:dyDescent="0.4">
      <c r="A7" s="7"/>
      <c r="B7" s="10"/>
      <c r="C7" s="10"/>
      <c r="D7" s="10"/>
      <c r="E7" s="10"/>
      <c r="F7"/>
      <c r="G7"/>
      <c r="H7"/>
      <c r="I7"/>
      <c r="J7"/>
      <c r="K7"/>
      <c r="L7"/>
    </row>
    <row r="8" spans="1:12" ht="23.5" x14ac:dyDescent="0.35">
      <c r="A8" s="49" t="s">
        <v>6</v>
      </c>
      <c r="B8" s="50"/>
      <c r="C8" s="50"/>
      <c r="D8" s="50"/>
      <c r="E8" s="50"/>
      <c r="F8" s="50"/>
      <c r="G8" s="51"/>
    </row>
    <row r="9" spans="1:12" ht="15.5" x14ac:dyDescent="0.35">
      <c r="A9" s="20" t="s">
        <v>7</v>
      </c>
      <c r="B9" s="19" t="s">
        <v>4</v>
      </c>
      <c r="C9" s="18" t="s">
        <v>0</v>
      </c>
      <c r="D9" s="18" t="s">
        <v>5</v>
      </c>
      <c r="E9" s="18" t="s">
        <v>9</v>
      </c>
      <c r="F9" s="18" t="s">
        <v>12</v>
      </c>
      <c r="G9" s="21" t="s">
        <v>10</v>
      </c>
    </row>
    <row r="10" spans="1:12" ht="15.5" x14ac:dyDescent="0.35">
      <c r="A10" s="41" t="s">
        <v>50</v>
      </c>
      <c r="B10" s="37" t="str">
        <f>'HPE Apollo 4140 '!C2</f>
        <v xml:space="preserve">4140 SDS </v>
      </c>
      <c r="C10" s="38">
        <v>36</v>
      </c>
      <c r="D10" s="37">
        <f>'HPE Apollo 4140 '!E7</f>
        <v>1214378.3999999999</v>
      </c>
      <c r="E10" s="37">
        <f>D10*C10</f>
        <v>43717622.399999999</v>
      </c>
      <c r="F10" s="39">
        <f>'HPE Apollo 4140 '!H7</f>
        <v>178307.46031746038</v>
      </c>
      <c r="G10" s="40">
        <f>F10*C10</f>
        <v>6419068.5714285737</v>
      </c>
    </row>
    <row r="11" spans="1:12" ht="15.5" x14ac:dyDescent="0.35">
      <c r="A11" s="22"/>
      <c r="B11" s="22"/>
      <c r="C11" s="22"/>
      <c r="D11" s="22"/>
      <c r="E11" s="22"/>
    </row>
    <row r="12" spans="1:12" ht="15.5" x14ac:dyDescent="0.35">
      <c r="A12" s="22"/>
      <c r="B12" s="32"/>
      <c r="C12" s="22"/>
      <c r="D12" s="22"/>
      <c r="E12" s="22"/>
      <c r="F12" s="22"/>
      <c r="G12" s="22"/>
      <c r="H12" s="22"/>
      <c r="I12" s="22"/>
    </row>
    <row r="13" spans="1:12" ht="15.5" x14ac:dyDescent="0.35">
      <c r="A13" s="13"/>
      <c r="B13" s="45" t="s">
        <v>63</v>
      </c>
      <c r="C13" s="22"/>
      <c r="D13" s="22"/>
      <c r="E13" s="52" t="s">
        <v>17</v>
      </c>
      <c r="F13" s="52"/>
      <c r="G13" s="46">
        <v>0</v>
      </c>
      <c r="H13" s="22"/>
      <c r="I13" s="22"/>
    </row>
    <row r="14" spans="1:12" ht="15.5" x14ac:dyDescent="0.35">
      <c r="B14" s="32"/>
      <c r="C14" s="22"/>
      <c r="D14" s="22"/>
      <c r="E14" s="22"/>
      <c r="F14" s="22"/>
      <c r="G14" s="22"/>
      <c r="H14" s="22"/>
      <c r="I14" s="22"/>
    </row>
    <row r="15" spans="1:12" ht="15.5" x14ac:dyDescent="0.35">
      <c r="B15" s="32"/>
      <c r="C15" s="22"/>
      <c r="D15" s="22"/>
      <c r="E15" s="22"/>
      <c r="F15" s="22"/>
      <c r="G15" s="22"/>
      <c r="H15" s="22"/>
      <c r="I15" s="22"/>
    </row>
    <row r="16" spans="1:12" ht="15.5" x14ac:dyDescent="0.35">
      <c r="B16" s="22"/>
      <c r="C16" s="22"/>
      <c r="D16" s="22"/>
      <c r="E16" s="22"/>
      <c r="F16" s="22"/>
      <c r="G16" s="22"/>
      <c r="H16" s="22"/>
      <c r="I16" s="22"/>
    </row>
    <row r="17" spans="2:9" ht="15.5" x14ac:dyDescent="0.35">
      <c r="B17" s="22"/>
      <c r="C17" s="22"/>
      <c r="D17" s="22"/>
      <c r="E17" s="22"/>
      <c r="F17" s="22"/>
      <c r="G17" s="44"/>
      <c r="H17" s="22"/>
      <c r="I17" s="22"/>
    </row>
    <row r="18" spans="2:9" ht="15.5" x14ac:dyDescent="0.35">
      <c r="B18" s="22"/>
      <c r="C18" s="22"/>
      <c r="D18" s="22"/>
      <c r="E18" s="22"/>
      <c r="F18" s="22"/>
      <c r="G18" s="22"/>
      <c r="H18" s="22"/>
      <c r="I18" s="22"/>
    </row>
    <row r="19" spans="2:9" ht="15.5" x14ac:dyDescent="0.35">
      <c r="B19" s="22"/>
      <c r="C19" s="22"/>
      <c r="D19" s="22"/>
      <c r="E19" s="22"/>
      <c r="F19" s="22"/>
      <c r="G19" s="22"/>
      <c r="H19" s="22"/>
      <c r="I19" s="22"/>
    </row>
    <row r="20" spans="2:9" ht="15.5" x14ac:dyDescent="0.35">
      <c r="B20" s="22"/>
      <c r="C20" s="22"/>
      <c r="D20" s="22"/>
      <c r="E20" s="22"/>
      <c r="F20" s="22"/>
      <c r="G20" s="22"/>
      <c r="H20" s="22"/>
      <c r="I20" s="22"/>
    </row>
  </sheetData>
  <mergeCells count="2">
    <mergeCell ref="A8:G8"/>
    <mergeCell ref="E13:F1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F66F-9B36-4A99-B77D-AAACCA088120}">
  <dimension ref="A1:P41"/>
  <sheetViews>
    <sheetView topLeftCell="A3" zoomScale="90" zoomScaleNormal="90" workbookViewId="0">
      <selection activeCell="C7" sqref="C7"/>
    </sheetView>
  </sheetViews>
  <sheetFormatPr defaultColWidth="8.81640625" defaultRowHeight="14.5" x14ac:dyDescent="0.35"/>
  <cols>
    <col min="1" max="1" width="4.36328125" bestFit="1" customWidth="1"/>
    <col min="2" max="2" width="15" bestFit="1" customWidth="1"/>
    <col min="3" max="3" width="89.1796875" bestFit="1" customWidth="1"/>
    <col min="4" max="4" width="12.1796875" bestFit="1" customWidth="1"/>
    <col min="5" max="5" width="13.453125" customWidth="1"/>
    <col min="6" max="6" width="8.81640625" customWidth="1"/>
    <col min="7" max="8" width="12.81640625" customWidth="1"/>
    <col min="9" max="9" width="10.1796875" bestFit="1" customWidth="1"/>
  </cols>
  <sheetData>
    <row r="1" spans="1:16" x14ac:dyDescent="0.35">
      <c r="A1" s="9"/>
      <c r="B1" s="3"/>
      <c r="C1" s="3"/>
      <c r="D1" s="3"/>
      <c r="E1" s="4"/>
      <c r="F1" s="4"/>
      <c r="G1" s="4"/>
      <c r="J1" s="1"/>
      <c r="K1" s="1"/>
      <c r="L1" s="1"/>
      <c r="M1" s="1"/>
      <c r="N1" s="1"/>
      <c r="O1" s="1"/>
      <c r="P1" s="1"/>
    </row>
    <row r="2" spans="1:16" ht="15.5" x14ac:dyDescent="0.35">
      <c r="A2" s="10"/>
      <c r="B2" s="6"/>
      <c r="C2" s="17" t="s">
        <v>49</v>
      </c>
      <c r="D2" s="1"/>
      <c r="E2" s="1"/>
      <c r="F2" s="1"/>
      <c r="G2" s="1"/>
      <c r="J2" s="1"/>
      <c r="K2" s="1"/>
      <c r="L2" s="1"/>
      <c r="M2" s="1"/>
      <c r="N2" s="1"/>
      <c r="O2" s="1"/>
      <c r="P2" s="1"/>
    </row>
    <row r="3" spans="1:16" ht="15.5" x14ac:dyDescent="0.35">
      <c r="A3" s="10"/>
      <c r="B3" s="6"/>
      <c r="C3" s="17" t="s">
        <v>50</v>
      </c>
      <c r="D3" s="1"/>
      <c r="E3" s="1"/>
      <c r="F3" s="1"/>
      <c r="G3" s="1"/>
      <c r="J3" s="1"/>
      <c r="K3" s="1"/>
      <c r="L3" s="1"/>
      <c r="M3" s="1"/>
      <c r="N3" s="1"/>
      <c r="O3" s="1"/>
      <c r="P3" s="1"/>
    </row>
    <row r="4" spans="1:16" ht="15.5" x14ac:dyDescent="0.35">
      <c r="A4" s="10"/>
      <c r="B4" s="6"/>
      <c r="C4" s="17">
        <v>46084</v>
      </c>
      <c r="D4" s="1"/>
      <c r="E4" s="1"/>
      <c r="F4" s="1"/>
      <c r="G4" s="1"/>
      <c r="J4" s="1"/>
      <c r="K4" s="1"/>
      <c r="L4" s="1"/>
      <c r="M4" s="1"/>
      <c r="N4" s="1"/>
      <c r="O4" s="1"/>
      <c r="P4" s="1"/>
    </row>
    <row r="5" spans="1:16" x14ac:dyDescent="0.35">
      <c r="A5" s="11"/>
      <c r="B5" s="8"/>
      <c r="C5" s="8"/>
    </row>
    <row r="6" spans="1:16" ht="15" thickBot="1" x14ac:dyDescent="0.4">
      <c r="A6" s="14" t="s">
        <v>2</v>
      </c>
      <c r="B6" s="15" t="s">
        <v>3</v>
      </c>
      <c r="C6" s="15" t="s">
        <v>4</v>
      </c>
      <c r="D6" s="15" t="s">
        <v>5</v>
      </c>
      <c r="E6" s="15" t="s">
        <v>13</v>
      </c>
      <c r="F6" s="26" t="s">
        <v>14</v>
      </c>
      <c r="G6" s="27" t="s">
        <v>15</v>
      </c>
      <c r="H6" s="27" t="s">
        <v>16</v>
      </c>
    </row>
    <row r="7" spans="1:16" ht="15" thickBot="1" x14ac:dyDescent="0.4">
      <c r="A7" s="25"/>
      <c r="B7" s="25"/>
      <c r="C7" s="25" t="s">
        <v>51</v>
      </c>
      <c r="D7" s="33"/>
      <c r="E7" s="34">
        <f>SUM(E8:E41)</f>
        <v>1214378.3999999999</v>
      </c>
      <c r="F7" s="35">
        <f>1-(H7/E7)</f>
        <v>0.85316976955662227</v>
      </c>
      <c r="G7" s="28"/>
      <c r="H7" s="28">
        <f>SUM(H8:H41)</f>
        <v>178307.46031746038</v>
      </c>
    </row>
    <row r="8" spans="1:16" x14ac:dyDescent="0.35">
      <c r="A8" s="47">
        <v>1</v>
      </c>
      <c r="B8" s="36" t="s">
        <v>22</v>
      </c>
      <c r="C8" s="36" t="s">
        <v>35</v>
      </c>
      <c r="D8" s="43">
        <v>19680</v>
      </c>
      <c r="E8" s="30">
        <f>D8*A8</f>
        <v>19680</v>
      </c>
      <c r="F8" s="31">
        <f>1-(G8/D8)</f>
        <v>0.66561760657289115</v>
      </c>
      <c r="G8" s="29">
        <v>6580.6455026455033</v>
      </c>
      <c r="H8" s="29">
        <f>G8*A8</f>
        <v>6580.6455026455033</v>
      </c>
    </row>
    <row r="9" spans="1:16" x14ac:dyDescent="0.35">
      <c r="A9" s="47">
        <v>1</v>
      </c>
      <c r="B9" s="36" t="s">
        <v>22</v>
      </c>
      <c r="C9" s="36" t="s">
        <v>35</v>
      </c>
      <c r="D9" s="42">
        <v>0</v>
      </c>
      <c r="E9" s="30">
        <f t="shared" ref="E9:E41" si="0">D9*A9</f>
        <v>0</v>
      </c>
      <c r="F9" s="48" t="s">
        <v>21</v>
      </c>
      <c r="G9" s="29">
        <v>0</v>
      </c>
      <c r="H9" s="29">
        <f t="shared" ref="H9:H41" si="1">G9*A9</f>
        <v>0</v>
      </c>
    </row>
    <row r="10" spans="1:16" x14ac:dyDescent="0.35">
      <c r="A10" s="47">
        <v>1</v>
      </c>
      <c r="B10" s="36" t="s">
        <v>11</v>
      </c>
      <c r="C10" s="36" t="s">
        <v>18</v>
      </c>
      <c r="D10" s="42">
        <v>25</v>
      </c>
      <c r="E10" s="30">
        <f t="shared" si="0"/>
        <v>25</v>
      </c>
      <c r="F10" s="31">
        <f t="shared" ref="F10:F41" si="2">1-(G10/D10)</f>
        <v>0.57544973544973543</v>
      </c>
      <c r="G10" s="29">
        <v>10.613756613756614</v>
      </c>
      <c r="H10" s="29">
        <f t="shared" si="1"/>
        <v>10.613756613756614</v>
      </c>
    </row>
    <row r="11" spans="1:16" x14ac:dyDescent="0.35">
      <c r="A11" s="47">
        <v>2</v>
      </c>
      <c r="B11" s="36" t="s">
        <v>23</v>
      </c>
      <c r="C11" s="36" t="s">
        <v>36</v>
      </c>
      <c r="D11" s="43">
        <v>9442</v>
      </c>
      <c r="E11" s="30">
        <f t="shared" si="0"/>
        <v>18884</v>
      </c>
      <c r="F11" s="31">
        <f t="shared" si="2"/>
        <v>0.48139518463602338</v>
      </c>
      <c r="G11" s="29">
        <v>4896.666666666667</v>
      </c>
      <c r="H11" s="29">
        <f t="shared" si="1"/>
        <v>9793.3333333333339</v>
      </c>
    </row>
    <row r="12" spans="1:16" x14ac:dyDescent="0.35">
      <c r="A12" s="47">
        <v>2</v>
      </c>
      <c r="B12" s="36" t="s">
        <v>23</v>
      </c>
      <c r="C12" s="36" t="s">
        <v>37</v>
      </c>
      <c r="D12" s="42">
        <v>0</v>
      </c>
      <c r="E12" s="30">
        <f t="shared" si="0"/>
        <v>0</v>
      </c>
      <c r="F12" s="48" t="s">
        <v>21</v>
      </c>
      <c r="G12" s="29">
        <v>0</v>
      </c>
      <c r="H12" s="29">
        <f t="shared" si="1"/>
        <v>0</v>
      </c>
    </row>
    <row r="13" spans="1:16" x14ac:dyDescent="0.35">
      <c r="A13" s="47">
        <v>24</v>
      </c>
      <c r="B13" s="36" t="s">
        <v>24</v>
      </c>
      <c r="C13" s="36" t="s">
        <v>38</v>
      </c>
      <c r="D13" s="43">
        <v>20223.599999999999</v>
      </c>
      <c r="E13" s="30">
        <f>D13*A13</f>
        <v>485366.39999999997</v>
      </c>
      <c r="F13" s="31">
        <f t="shared" si="2"/>
        <v>0.88496021882758169</v>
      </c>
      <c r="G13" s="29">
        <v>2326.5185185185187</v>
      </c>
      <c r="H13" s="29">
        <f t="shared" si="1"/>
        <v>55836.444444444453</v>
      </c>
    </row>
    <row r="14" spans="1:16" x14ac:dyDescent="0.35">
      <c r="A14" s="47">
        <v>24</v>
      </c>
      <c r="B14" s="36" t="s">
        <v>24</v>
      </c>
      <c r="C14" s="36" t="s">
        <v>1</v>
      </c>
      <c r="D14" s="42">
        <v>0</v>
      </c>
      <c r="E14" s="30">
        <f t="shared" si="0"/>
        <v>0</v>
      </c>
      <c r="F14" s="48" t="s">
        <v>21</v>
      </c>
      <c r="G14" s="29">
        <v>0</v>
      </c>
      <c r="H14" s="29">
        <f t="shared" si="1"/>
        <v>0</v>
      </c>
    </row>
    <row r="15" spans="1:16" x14ac:dyDescent="0.35">
      <c r="A15" s="47">
        <v>1</v>
      </c>
      <c r="B15" s="36" t="s">
        <v>25</v>
      </c>
      <c r="C15" s="36" t="s">
        <v>39</v>
      </c>
      <c r="D15" s="42">
        <v>960</v>
      </c>
      <c r="E15" s="30">
        <f t="shared" si="0"/>
        <v>960</v>
      </c>
      <c r="F15" s="31">
        <f t="shared" si="2"/>
        <v>0.84393738977072308</v>
      </c>
      <c r="G15" s="29">
        <v>149.82010582010585</v>
      </c>
      <c r="H15" s="29">
        <f t="shared" si="1"/>
        <v>149.82010582010585</v>
      </c>
    </row>
    <row r="16" spans="1:16" x14ac:dyDescent="0.35">
      <c r="A16" s="47">
        <v>1</v>
      </c>
      <c r="B16" s="36" t="s">
        <v>26</v>
      </c>
      <c r="C16" s="36" t="s">
        <v>40</v>
      </c>
      <c r="D16" s="43">
        <v>7508.4</v>
      </c>
      <c r="E16" s="30">
        <f t="shared" si="0"/>
        <v>7508.4</v>
      </c>
      <c r="F16" s="31">
        <f t="shared" si="2"/>
        <v>0.75268193450495935</v>
      </c>
      <c r="G16" s="29">
        <v>1856.962962962963</v>
      </c>
      <c r="H16" s="29">
        <f t="shared" si="1"/>
        <v>1856.962962962963</v>
      </c>
    </row>
    <row r="17" spans="1:8" x14ac:dyDescent="0.35">
      <c r="A17" s="47">
        <v>1</v>
      </c>
      <c r="B17" s="36" t="s">
        <v>26</v>
      </c>
      <c r="C17" s="36" t="s">
        <v>37</v>
      </c>
      <c r="D17" s="42">
        <v>0</v>
      </c>
      <c r="E17" s="30">
        <f t="shared" si="0"/>
        <v>0</v>
      </c>
      <c r="F17" s="48" t="s">
        <v>21</v>
      </c>
      <c r="G17" s="29">
        <v>0</v>
      </c>
      <c r="H17" s="29">
        <f t="shared" si="1"/>
        <v>0</v>
      </c>
    </row>
    <row r="18" spans="1:8" x14ac:dyDescent="0.35">
      <c r="A18" s="47">
        <v>7</v>
      </c>
      <c r="B18" s="36" t="s">
        <v>27</v>
      </c>
      <c r="C18" s="36" t="s">
        <v>41</v>
      </c>
      <c r="D18" s="43">
        <v>19190.400000000001</v>
      </c>
      <c r="E18" s="30">
        <f t="shared" si="0"/>
        <v>134332.80000000002</v>
      </c>
      <c r="F18" s="31">
        <f t="shared" si="2"/>
        <v>0.79096470633906013</v>
      </c>
      <c r="G18" s="29">
        <v>4011.4708994708999</v>
      </c>
      <c r="H18" s="29">
        <f t="shared" si="1"/>
        <v>28080.296296296299</v>
      </c>
    </row>
    <row r="19" spans="1:8" x14ac:dyDescent="0.35">
      <c r="A19" s="47">
        <v>7</v>
      </c>
      <c r="B19" s="36" t="s">
        <v>27</v>
      </c>
      <c r="C19" s="36" t="s">
        <v>37</v>
      </c>
      <c r="D19" s="42">
        <v>0</v>
      </c>
      <c r="E19" s="30">
        <f t="shared" si="0"/>
        <v>0</v>
      </c>
      <c r="F19" s="48" t="s">
        <v>21</v>
      </c>
      <c r="G19" s="29">
        <v>0</v>
      </c>
      <c r="H19" s="29">
        <f t="shared" si="1"/>
        <v>0</v>
      </c>
    </row>
    <row r="20" spans="1:8" x14ac:dyDescent="0.35">
      <c r="A20" s="47">
        <v>84</v>
      </c>
      <c r="B20" s="36" t="s">
        <v>28</v>
      </c>
      <c r="C20" s="36" t="s">
        <v>42</v>
      </c>
      <c r="D20" s="43">
        <v>6145.2</v>
      </c>
      <c r="E20" s="30">
        <f t="shared" si="0"/>
        <v>516196.8</v>
      </c>
      <c r="F20" s="31">
        <f t="shared" si="2"/>
        <v>0.86701540532172572</v>
      </c>
      <c r="G20" s="29">
        <v>817.21693121693124</v>
      </c>
      <c r="H20" s="29">
        <f t="shared" si="1"/>
        <v>68646.222222222219</v>
      </c>
    </row>
    <row r="21" spans="1:8" x14ac:dyDescent="0.35">
      <c r="A21" s="47">
        <v>84</v>
      </c>
      <c r="B21" s="36" t="s">
        <v>28</v>
      </c>
      <c r="C21" s="36" t="s">
        <v>1</v>
      </c>
      <c r="D21" s="42">
        <v>0</v>
      </c>
      <c r="E21" s="30">
        <f t="shared" si="0"/>
        <v>0</v>
      </c>
      <c r="F21" s="48" t="s">
        <v>21</v>
      </c>
      <c r="G21" s="29">
        <v>0</v>
      </c>
      <c r="H21" s="29">
        <f t="shared" si="1"/>
        <v>0</v>
      </c>
    </row>
    <row r="22" spans="1:8" x14ac:dyDescent="0.35">
      <c r="A22" s="47">
        <v>1</v>
      </c>
      <c r="B22" s="36" t="s">
        <v>29</v>
      </c>
      <c r="C22" s="36" t="s">
        <v>43</v>
      </c>
      <c r="D22" s="42">
        <v>397</v>
      </c>
      <c r="E22" s="30">
        <f t="shared" si="0"/>
        <v>397</v>
      </c>
      <c r="F22" s="31">
        <f t="shared" si="2"/>
        <v>0.81517465648448018</v>
      </c>
      <c r="G22" s="29">
        <v>73.37566137566138</v>
      </c>
      <c r="H22" s="29">
        <f t="shared" si="1"/>
        <v>73.37566137566138</v>
      </c>
    </row>
    <row r="23" spans="1:8" x14ac:dyDescent="0.35">
      <c r="A23" s="47">
        <v>1</v>
      </c>
      <c r="B23" s="36" t="s">
        <v>29</v>
      </c>
      <c r="C23" s="36" t="s">
        <v>1</v>
      </c>
      <c r="D23" s="42">
        <v>0</v>
      </c>
      <c r="E23" s="30">
        <f t="shared" si="0"/>
        <v>0</v>
      </c>
      <c r="F23" s="48" t="s">
        <v>21</v>
      </c>
      <c r="G23" s="29">
        <v>0</v>
      </c>
      <c r="H23" s="29">
        <f t="shared" si="1"/>
        <v>0</v>
      </c>
    </row>
    <row r="24" spans="1:8" x14ac:dyDescent="0.35">
      <c r="A24" s="47">
        <v>2</v>
      </c>
      <c r="B24" s="36" t="s">
        <v>30</v>
      </c>
      <c r="C24" s="36" t="s">
        <v>44</v>
      </c>
      <c r="D24" s="43">
        <v>4800</v>
      </c>
      <c r="E24" s="30">
        <f t="shared" si="0"/>
        <v>9600</v>
      </c>
      <c r="F24" s="31">
        <f t="shared" si="2"/>
        <v>0.7591931216931217</v>
      </c>
      <c r="G24" s="29">
        <v>1155.8730158730159</v>
      </c>
      <c r="H24" s="29">
        <f t="shared" si="1"/>
        <v>2311.7460317460318</v>
      </c>
    </row>
    <row r="25" spans="1:8" x14ac:dyDescent="0.35">
      <c r="A25" s="47">
        <v>2</v>
      </c>
      <c r="B25" s="36" t="s">
        <v>53</v>
      </c>
      <c r="C25" s="36" t="s">
        <v>58</v>
      </c>
      <c r="D25" s="43">
        <v>4373</v>
      </c>
      <c r="E25" s="30">
        <f t="shared" si="0"/>
        <v>8746</v>
      </c>
      <c r="F25" s="31">
        <f t="shared" si="2"/>
        <v>0.84023414483053172</v>
      </c>
      <c r="G25" s="29">
        <v>698.65608465608466</v>
      </c>
      <c r="H25" s="29">
        <f t="shared" si="1"/>
        <v>1397.3121693121693</v>
      </c>
    </row>
    <row r="26" spans="1:8" x14ac:dyDescent="0.35">
      <c r="A26" s="47">
        <v>2</v>
      </c>
      <c r="B26" s="36" t="s">
        <v>53</v>
      </c>
      <c r="C26" s="36" t="s">
        <v>1</v>
      </c>
      <c r="D26" s="42">
        <v>0</v>
      </c>
      <c r="E26" s="30">
        <f t="shared" si="0"/>
        <v>0</v>
      </c>
      <c r="F26" s="48" t="s">
        <v>21</v>
      </c>
      <c r="G26" s="29">
        <v>0</v>
      </c>
      <c r="H26" s="29">
        <f t="shared" si="1"/>
        <v>0</v>
      </c>
    </row>
    <row r="27" spans="1:8" x14ac:dyDescent="0.35">
      <c r="A27" s="47">
        <v>4</v>
      </c>
      <c r="B27" s="36" t="s">
        <v>31</v>
      </c>
      <c r="C27" s="36" t="s">
        <v>45</v>
      </c>
      <c r="D27" s="43">
        <v>1588</v>
      </c>
      <c r="E27" s="30">
        <f t="shared" si="0"/>
        <v>6352</v>
      </c>
      <c r="F27" s="31">
        <f t="shared" si="2"/>
        <v>0.82666959870990098</v>
      </c>
      <c r="G27" s="29">
        <v>275.24867724867727</v>
      </c>
      <c r="H27" s="29">
        <f t="shared" si="1"/>
        <v>1100.9947089947091</v>
      </c>
    </row>
    <row r="28" spans="1:8" x14ac:dyDescent="0.35">
      <c r="A28" s="47">
        <v>4</v>
      </c>
      <c r="B28" s="36" t="s">
        <v>31</v>
      </c>
      <c r="C28" s="36" t="s">
        <v>19</v>
      </c>
      <c r="D28" s="42">
        <v>0</v>
      </c>
      <c r="E28" s="30">
        <f t="shared" si="0"/>
        <v>0</v>
      </c>
      <c r="F28" s="48" t="s">
        <v>21</v>
      </c>
      <c r="G28" s="29">
        <v>0</v>
      </c>
      <c r="H28" s="29">
        <f t="shared" si="1"/>
        <v>0</v>
      </c>
    </row>
    <row r="29" spans="1:8" x14ac:dyDescent="0.35">
      <c r="A29" s="47">
        <v>1</v>
      </c>
      <c r="B29" s="36" t="s">
        <v>54</v>
      </c>
      <c r="C29" s="36" t="s">
        <v>59</v>
      </c>
      <c r="D29" s="42">
        <v>720</v>
      </c>
      <c r="E29" s="30">
        <f t="shared" si="0"/>
        <v>720</v>
      </c>
      <c r="F29" s="31">
        <f t="shared" si="2"/>
        <v>0.88539094650205763</v>
      </c>
      <c r="G29" s="29">
        <v>82.518518518518533</v>
      </c>
      <c r="H29" s="29">
        <f t="shared" si="1"/>
        <v>82.518518518518533</v>
      </c>
    </row>
    <row r="30" spans="1:8" x14ac:dyDescent="0.35">
      <c r="A30" s="47">
        <v>1</v>
      </c>
      <c r="B30" s="36" t="s">
        <v>54</v>
      </c>
      <c r="C30" s="36" t="s">
        <v>1</v>
      </c>
      <c r="D30" s="42">
        <v>0</v>
      </c>
      <c r="E30" s="30">
        <f t="shared" si="0"/>
        <v>0</v>
      </c>
      <c r="F30" s="48" t="s">
        <v>21</v>
      </c>
      <c r="G30" s="29">
        <v>0</v>
      </c>
      <c r="H30" s="29">
        <f t="shared" si="1"/>
        <v>0</v>
      </c>
    </row>
    <row r="31" spans="1:8" x14ac:dyDescent="0.35">
      <c r="A31" s="47">
        <v>1</v>
      </c>
      <c r="B31" s="36" t="s">
        <v>55</v>
      </c>
      <c r="C31" s="36" t="s">
        <v>60</v>
      </c>
      <c r="D31" s="42">
        <v>120</v>
      </c>
      <c r="E31" s="30">
        <f t="shared" si="0"/>
        <v>120</v>
      </c>
      <c r="F31" s="31">
        <f t="shared" si="2"/>
        <v>0.96860670194003529</v>
      </c>
      <c r="G31" s="29">
        <v>3.7671957671957674</v>
      </c>
      <c r="H31" s="29">
        <f t="shared" si="1"/>
        <v>3.7671957671957674</v>
      </c>
    </row>
    <row r="32" spans="1:8" x14ac:dyDescent="0.35">
      <c r="A32" s="47">
        <v>1</v>
      </c>
      <c r="B32" s="36" t="s">
        <v>56</v>
      </c>
      <c r="C32" s="36" t="s">
        <v>61</v>
      </c>
      <c r="D32" s="43">
        <v>3099</v>
      </c>
      <c r="E32" s="30">
        <f t="shared" si="0"/>
        <v>3099</v>
      </c>
      <c r="F32" s="31">
        <f t="shared" si="2"/>
        <v>0.57666494226674925</v>
      </c>
      <c r="G32" s="29">
        <v>1311.915343915344</v>
      </c>
      <c r="H32" s="29">
        <f t="shared" si="1"/>
        <v>1311.915343915344</v>
      </c>
    </row>
    <row r="33" spans="1:8" x14ac:dyDescent="0.35">
      <c r="A33" s="47">
        <v>1</v>
      </c>
      <c r="B33" s="36" t="s">
        <v>56</v>
      </c>
      <c r="C33" s="36" t="s">
        <v>37</v>
      </c>
      <c r="D33" s="42">
        <v>0</v>
      </c>
      <c r="E33" s="30">
        <f t="shared" si="0"/>
        <v>0</v>
      </c>
      <c r="F33" s="48" t="s">
        <v>21</v>
      </c>
      <c r="G33" s="29">
        <v>0</v>
      </c>
      <c r="H33" s="29">
        <f t="shared" si="1"/>
        <v>0</v>
      </c>
    </row>
    <row r="34" spans="1:8" x14ac:dyDescent="0.35">
      <c r="A34" s="47">
        <v>2</v>
      </c>
      <c r="B34" s="36" t="s">
        <v>32</v>
      </c>
      <c r="C34" s="36" t="s">
        <v>46</v>
      </c>
      <c r="D34" s="42">
        <v>378</v>
      </c>
      <c r="E34" s="30">
        <f t="shared" si="0"/>
        <v>756</v>
      </c>
      <c r="F34" s="31">
        <f t="shared" si="2"/>
        <v>0.83177962543041906</v>
      </c>
      <c r="G34" s="29">
        <v>63.587301587301596</v>
      </c>
      <c r="H34" s="29">
        <f t="shared" si="1"/>
        <v>127.17460317460319</v>
      </c>
    </row>
    <row r="35" spans="1:8" x14ac:dyDescent="0.35">
      <c r="A35" s="47">
        <v>2</v>
      </c>
      <c r="B35" s="36" t="s">
        <v>32</v>
      </c>
      <c r="C35" s="36" t="s">
        <v>1</v>
      </c>
      <c r="D35" s="42">
        <v>0</v>
      </c>
      <c r="E35" s="30">
        <f t="shared" si="0"/>
        <v>0</v>
      </c>
      <c r="F35" s="48" t="s">
        <v>21</v>
      </c>
      <c r="G35" s="29">
        <v>0</v>
      </c>
      <c r="H35" s="29">
        <f t="shared" si="1"/>
        <v>0</v>
      </c>
    </row>
    <row r="36" spans="1:8" x14ac:dyDescent="0.35">
      <c r="A36" s="47">
        <v>1</v>
      </c>
      <c r="B36" s="36" t="s">
        <v>57</v>
      </c>
      <c r="C36" s="36" t="s">
        <v>62</v>
      </c>
      <c r="D36" s="42">
        <v>120</v>
      </c>
      <c r="E36" s="30">
        <f t="shared" si="0"/>
        <v>120</v>
      </c>
      <c r="F36" s="31">
        <f t="shared" si="2"/>
        <v>0.89920634920634923</v>
      </c>
      <c r="G36" s="29">
        <v>12.095238095238095</v>
      </c>
      <c r="H36" s="29">
        <f t="shared" si="1"/>
        <v>12.095238095238095</v>
      </c>
    </row>
    <row r="37" spans="1:8" x14ac:dyDescent="0.35">
      <c r="A37" s="47">
        <v>1</v>
      </c>
      <c r="B37" s="36" t="s">
        <v>33</v>
      </c>
      <c r="C37" s="36" t="s">
        <v>47</v>
      </c>
      <c r="D37" s="42">
        <v>360</v>
      </c>
      <c r="E37" s="30">
        <f t="shared" si="0"/>
        <v>360</v>
      </c>
      <c r="F37" s="31">
        <f t="shared" si="2"/>
        <v>0.64406231628453847</v>
      </c>
      <c r="G37" s="29">
        <v>128.13756613756615</v>
      </c>
      <c r="H37" s="29">
        <f t="shared" si="1"/>
        <v>128.13756613756615</v>
      </c>
    </row>
    <row r="38" spans="1:8" x14ac:dyDescent="0.35">
      <c r="A38" s="47">
        <v>1</v>
      </c>
      <c r="B38" s="36" t="s">
        <v>33</v>
      </c>
      <c r="C38" s="36" t="s">
        <v>1</v>
      </c>
      <c r="D38" s="42">
        <v>0</v>
      </c>
      <c r="E38" s="30">
        <f t="shared" si="0"/>
        <v>0</v>
      </c>
      <c r="F38" s="48" t="s">
        <v>21</v>
      </c>
      <c r="G38" s="29">
        <v>0</v>
      </c>
      <c r="H38" s="29">
        <f t="shared" si="1"/>
        <v>0</v>
      </c>
    </row>
    <row r="39" spans="1:8" x14ac:dyDescent="0.35">
      <c r="A39" s="47">
        <v>1</v>
      </c>
      <c r="B39" s="36" t="s">
        <v>34</v>
      </c>
      <c r="C39" s="36" t="s">
        <v>48</v>
      </c>
      <c r="D39" s="42">
        <v>156</v>
      </c>
      <c r="E39" s="30">
        <f t="shared" si="0"/>
        <v>156</v>
      </c>
      <c r="F39" s="31">
        <f t="shared" si="2"/>
        <v>0.58920092253425582</v>
      </c>
      <c r="G39" s="29">
        <v>64.084656084656089</v>
      </c>
      <c r="H39" s="29">
        <f t="shared" si="1"/>
        <v>64.084656084656089</v>
      </c>
    </row>
    <row r="40" spans="1:8" x14ac:dyDescent="0.35">
      <c r="A40" s="47">
        <v>1</v>
      </c>
      <c r="B40" s="36" t="s">
        <v>34</v>
      </c>
      <c r="C40" s="36" t="s">
        <v>1</v>
      </c>
      <c r="D40" s="42">
        <v>0</v>
      </c>
      <c r="E40" s="30">
        <f t="shared" si="0"/>
        <v>0</v>
      </c>
      <c r="F40" s="48" t="s">
        <v>21</v>
      </c>
      <c r="G40" s="29">
        <v>0</v>
      </c>
      <c r="H40" s="29">
        <f t="shared" si="1"/>
        <v>0</v>
      </c>
    </row>
    <row r="41" spans="1:8" x14ac:dyDescent="0.35">
      <c r="A41" s="36">
        <v>1</v>
      </c>
      <c r="B41" s="36" t="s">
        <v>8</v>
      </c>
      <c r="C41" s="36" t="s">
        <v>20</v>
      </c>
      <c r="D41" s="42">
        <v>999</v>
      </c>
      <c r="E41" s="30">
        <f t="shared" si="0"/>
        <v>999</v>
      </c>
      <c r="F41" s="31">
        <f t="shared" si="2"/>
        <v>0.2592592592592593</v>
      </c>
      <c r="G41" s="29">
        <v>740</v>
      </c>
      <c r="H41" s="29">
        <f t="shared" si="1"/>
        <v>740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43b195-b1ae-4f76-bb76-fd16079254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0732A0C2C9FE4BA03DB4186A8A8C7C" ma:contentTypeVersion="14" ma:contentTypeDescription="Create a new document." ma:contentTypeScope="" ma:versionID="abc056dde21f500b4ef94d691a98abb3">
  <xsd:schema xmlns:xsd="http://www.w3.org/2001/XMLSchema" xmlns:xs="http://www.w3.org/2001/XMLSchema" xmlns:p="http://schemas.microsoft.com/office/2006/metadata/properties" xmlns:ns3="dd43b195-b1ae-4f76-bb76-fd1607925471" xmlns:ns4="1860e103-c68d-4897-9c67-eac63e69aff9" targetNamespace="http://schemas.microsoft.com/office/2006/metadata/properties" ma:root="true" ma:fieldsID="d92353c512dadee3ca1ad02b58839db6" ns3:_="" ns4:_="">
    <xsd:import namespace="dd43b195-b1ae-4f76-bb76-fd1607925471"/>
    <xsd:import namespace="1860e103-c68d-4897-9c67-eac63e69af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3b195-b1ae-4f76-bb76-fd16079254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60e103-c68d-4897-9c67-eac63e69aff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269166-1AFC-4805-86C2-521529B105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68531D-A532-4A88-8510-C02EAD16A44F}">
  <ds:schemaRefs>
    <ds:schemaRef ds:uri="http://purl.org/dc/elements/1.1/"/>
    <ds:schemaRef ds:uri="1860e103-c68d-4897-9c67-eac63e69aff9"/>
    <ds:schemaRef ds:uri="http://purl.org/dc/terms/"/>
    <ds:schemaRef ds:uri="http://schemas.microsoft.com/office/2006/documentManagement/types"/>
    <ds:schemaRef ds:uri="dd43b195-b1ae-4f76-bb76-fd1607925471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5C6CA6C-8886-4DCB-8F79-276E3CBD8B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43b195-b1ae-4f76-bb76-fd1607925471"/>
    <ds:schemaRef ds:uri="1860e103-c68d-4897-9c67-eac63e69af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HPE Apollo 4140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Gal, Tomer</cp:lastModifiedBy>
  <dcterms:created xsi:type="dcterms:W3CDTF">2022-12-01T09:02:55Z</dcterms:created>
  <dcterms:modified xsi:type="dcterms:W3CDTF">2026-03-03T13:59:58Z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0x010100E30732A0C2C9FE4BA03DB4186A8A8C7C</vt:lpwstr>
  </property>
</Properties>
</file>